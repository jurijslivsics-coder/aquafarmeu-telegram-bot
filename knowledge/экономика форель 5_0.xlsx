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info\Documents\Аквакультура\CAD\2026\Форель 3\"/>
    </mc:Choice>
  </mc:AlternateContent>
  <xr:revisionPtr revIDLastSave="0" documentId="13_ncr:1_{93D255D7-4332-4B31-AC1A-2CA01AF0D85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Cost price" sheetId="1" r:id="rId1"/>
    <sheet name="Cash Flow" sheetId="2" r:id="rId2"/>
    <sheet name="Stages" sheetId="3" r:id="rId3"/>
    <sheet name="Разбивка" sheetId="4" state="hidden" r:id="rId4"/>
  </sheets>
  <definedNames>
    <definedName name="Excel_BuiltIn_Print_Area" localSheetId="0">'Cost price'!$A$1:$G$52</definedName>
    <definedName name="Excel_BuiltIn_Print_Area" localSheetId="2">Stages!$A$1:$W$21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9" i="1" l="1"/>
  <c r="C40" i="2" l="1"/>
  <c r="B33" i="2"/>
  <c r="B38" i="2"/>
  <c r="B36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C19" i="2"/>
  <c r="C18" i="2"/>
  <c r="C16" i="2"/>
  <c r="B6" i="1"/>
  <c r="B40" i="1"/>
  <c r="E40" i="1" s="1"/>
  <c r="F40" i="1" s="1"/>
  <c r="B41" i="1"/>
  <c r="E41" i="1"/>
  <c r="F41" i="1" s="1"/>
  <c r="C17" i="2" s="1"/>
  <c r="B38" i="1"/>
  <c r="J39" i="2" l="1"/>
  <c r="L39" i="2"/>
  <c r="B39" i="2"/>
  <c r="M39" i="2"/>
  <c r="N39" i="2"/>
  <c r="U39" i="2"/>
  <c r="V39" i="2"/>
  <c r="G39" i="2"/>
  <c r="K39" i="2"/>
  <c r="O39" i="2"/>
  <c r="P39" i="2"/>
  <c r="Q39" i="2"/>
  <c r="R39" i="2"/>
  <c r="C39" i="2"/>
  <c r="S39" i="2"/>
  <c r="D39" i="2"/>
  <c r="T39" i="2"/>
  <c r="E39" i="2"/>
  <c r="F39" i="2"/>
  <c r="H39" i="2"/>
  <c r="I39" i="2"/>
  <c r="D35" i="1"/>
  <c r="B35" i="1"/>
  <c r="E39" i="1" l="1"/>
  <c r="F39" i="1" s="1"/>
  <c r="C15" i="2" s="1"/>
  <c r="B11" i="4"/>
  <c r="B32" i="3"/>
  <c r="B31" i="3"/>
  <c r="B27" i="3"/>
  <c r="B26" i="3"/>
  <c r="B25" i="3"/>
  <c r="B24" i="3"/>
  <c r="C19" i="3"/>
  <c r="F18" i="3"/>
  <c r="F17" i="3"/>
  <c r="F16" i="3" s="1"/>
  <c r="C16" i="3"/>
  <c r="F10" i="3"/>
  <c r="C10" i="3"/>
  <c r="F8" i="3"/>
  <c r="F9" i="3" s="1"/>
  <c r="F7" i="3"/>
  <c r="C6" i="3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28" i="2" s="1"/>
  <c r="B27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C6" i="2"/>
  <c r="V26" i="2" s="1"/>
  <c r="D49" i="1"/>
  <c r="E49" i="1" s="1"/>
  <c r="F49" i="1" s="1"/>
  <c r="D48" i="1"/>
  <c r="E48" i="1" s="1"/>
  <c r="B43" i="1"/>
  <c r="E43" i="1" s="1"/>
  <c r="F43" i="1" s="1"/>
  <c r="B42" i="1"/>
  <c r="E38" i="1"/>
  <c r="F38" i="1" s="1"/>
  <c r="C14" i="2" s="1"/>
  <c r="B37" i="1"/>
  <c r="E37" i="1" s="1"/>
  <c r="F37" i="1" s="1"/>
  <c r="C13" i="2" s="1"/>
  <c r="B36" i="1"/>
  <c r="E36" i="1" s="1"/>
  <c r="F36" i="1" s="1"/>
  <c r="C12" i="2" s="1"/>
  <c r="E35" i="1"/>
  <c r="B29" i="1"/>
  <c r="C8" i="2" s="1"/>
  <c r="B30" i="2" s="1"/>
  <c r="B18" i="1"/>
  <c r="F17" i="1"/>
  <c r="D17" i="1"/>
  <c r="E17" i="1" s="1"/>
  <c r="F16" i="1"/>
  <c r="D16" i="1"/>
  <c r="E16" i="1" s="1"/>
  <c r="F15" i="1"/>
  <c r="D15" i="1"/>
  <c r="E15" i="1" s="1"/>
  <c r="F14" i="1"/>
  <c r="D14" i="1"/>
  <c r="E14" i="1" s="1"/>
  <c r="F13" i="1"/>
  <c r="D13" i="1"/>
  <c r="E13" i="1" s="1"/>
  <c r="F12" i="1"/>
  <c r="D12" i="1"/>
  <c r="E12" i="1" s="1"/>
  <c r="F11" i="1"/>
  <c r="D11" i="1"/>
  <c r="E11" i="1" s="1"/>
  <c r="F10" i="1"/>
  <c r="D10" i="1"/>
  <c r="M37" i="2" l="1"/>
  <c r="N37" i="2"/>
  <c r="B37" i="2"/>
  <c r="O37" i="2"/>
  <c r="P37" i="2"/>
  <c r="Q37" i="2"/>
  <c r="R37" i="2"/>
  <c r="C37" i="2"/>
  <c r="S37" i="2"/>
  <c r="D37" i="2"/>
  <c r="T37" i="2"/>
  <c r="E37" i="2"/>
  <c r="U37" i="2"/>
  <c r="F37" i="2"/>
  <c r="V37" i="2"/>
  <c r="G37" i="2"/>
  <c r="H37" i="2"/>
  <c r="I37" i="2"/>
  <c r="K37" i="2"/>
  <c r="L37" i="2"/>
  <c r="J37" i="2"/>
  <c r="F6" i="3"/>
  <c r="F18" i="1"/>
  <c r="F26" i="2"/>
  <c r="F28" i="2"/>
  <c r="U36" i="2"/>
  <c r="E36" i="2"/>
  <c r="C36" i="2"/>
  <c r="P36" i="2"/>
  <c r="O36" i="2"/>
  <c r="N36" i="2"/>
  <c r="T36" i="2"/>
  <c r="D36" i="2"/>
  <c r="S36" i="2"/>
  <c r="R36" i="2"/>
  <c r="Q36" i="2"/>
  <c r="F36" i="2"/>
  <c r="H36" i="2"/>
  <c r="M36" i="2"/>
  <c r="L36" i="2"/>
  <c r="J36" i="2"/>
  <c r="I36" i="2"/>
  <c r="V36" i="2"/>
  <c r="G36" i="2"/>
  <c r="K36" i="2"/>
  <c r="J35" i="2"/>
  <c r="G35" i="2"/>
  <c r="E35" i="2"/>
  <c r="D35" i="2"/>
  <c r="C35" i="2"/>
  <c r="I35" i="2"/>
  <c r="H35" i="2"/>
  <c r="V35" i="2"/>
  <c r="F35" i="2"/>
  <c r="U35" i="2"/>
  <c r="T35" i="2"/>
  <c r="S35" i="2"/>
  <c r="O35" i="2"/>
  <c r="N35" i="2"/>
  <c r="M35" i="2"/>
  <c r="R35" i="2"/>
  <c r="Q35" i="2"/>
  <c r="L35" i="2"/>
  <c r="P35" i="2"/>
  <c r="K35" i="2"/>
  <c r="B35" i="2"/>
  <c r="K41" i="2"/>
  <c r="F41" i="2"/>
  <c r="E41" i="2"/>
  <c r="D41" i="2"/>
  <c r="J41" i="2"/>
  <c r="I41" i="2"/>
  <c r="H41" i="2"/>
  <c r="G41" i="2"/>
  <c r="V41" i="2"/>
  <c r="U41" i="2"/>
  <c r="T41" i="2"/>
  <c r="P41" i="2"/>
  <c r="N41" i="2"/>
  <c r="S41" i="2"/>
  <c r="R41" i="2"/>
  <c r="Q41" i="2"/>
  <c r="O41" i="2"/>
  <c r="M41" i="2"/>
  <c r="C41" i="2"/>
  <c r="L41" i="2"/>
  <c r="B41" i="2"/>
  <c r="F35" i="1"/>
  <c r="O34" i="2"/>
  <c r="M34" i="2"/>
  <c r="N34" i="2"/>
  <c r="L34" i="2"/>
  <c r="K34" i="2"/>
  <c r="J34" i="2"/>
  <c r="I34" i="2"/>
  <c r="H34" i="2"/>
  <c r="P34" i="2"/>
  <c r="U34" i="2"/>
  <c r="R34" i="2"/>
  <c r="G34" i="2"/>
  <c r="F34" i="2"/>
  <c r="D34" i="2"/>
  <c r="S34" i="2"/>
  <c r="Q34" i="2"/>
  <c r="E34" i="2"/>
  <c r="V34" i="2"/>
  <c r="C34" i="2"/>
  <c r="B34" i="2"/>
  <c r="T34" i="2"/>
  <c r="E28" i="2"/>
  <c r="V28" i="2"/>
  <c r="E50" i="1"/>
  <c r="C43" i="2" s="1"/>
  <c r="F48" i="1"/>
  <c r="F50" i="1" s="1"/>
  <c r="T26" i="2"/>
  <c r="T28" i="2" s="1"/>
  <c r="D26" i="2"/>
  <c r="D28" i="2" s="1"/>
  <c r="Q26" i="2"/>
  <c r="Q28" i="2" s="1"/>
  <c r="O26" i="2"/>
  <c r="O28" i="2" s="1"/>
  <c r="N26" i="2"/>
  <c r="N28" i="2" s="1"/>
  <c r="M26" i="2"/>
  <c r="M28" i="2" s="1"/>
  <c r="S26" i="2"/>
  <c r="B26" i="2"/>
  <c r="B28" i="2" s="1"/>
  <c r="R26" i="2"/>
  <c r="R28" i="2" s="1"/>
  <c r="P26" i="2"/>
  <c r="P28" i="2" s="1"/>
  <c r="E26" i="2"/>
  <c r="S28" i="2"/>
  <c r="U28" i="2"/>
  <c r="G28" i="2"/>
  <c r="I28" i="2"/>
  <c r="H26" i="2"/>
  <c r="H28" i="2" s="1"/>
  <c r="J26" i="2"/>
  <c r="J28" i="2" s="1"/>
  <c r="D18" i="1"/>
  <c r="K26" i="2"/>
  <c r="K28" i="2" s="1"/>
  <c r="E10" i="1"/>
  <c r="E18" i="1" s="1"/>
  <c r="L26" i="2"/>
  <c r="L28" i="2" s="1"/>
  <c r="G26" i="2"/>
  <c r="I26" i="2"/>
  <c r="U26" i="2"/>
  <c r="D43" i="2" l="1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C11" i="2"/>
  <c r="D19" i="1"/>
  <c r="D42" i="1" s="1"/>
  <c r="E42" i="1" s="1"/>
  <c r="F42" i="1" l="1"/>
  <c r="E44" i="1"/>
  <c r="T33" i="2"/>
  <c r="D33" i="2"/>
  <c r="O33" i="2"/>
  <c r="N33" i="2"/>
  <c r="M33" i="2"/>
  <c r="S33" i="2"/>
  <c r="C33" i="2"/>
  <c r="R33" i="2"/>
  <c r="Q33" i="2"/>
  <c r="P33" i="2"/>
  <c r="E33" i="2"/>
  <c r="V33" i="2"/>
  <c r="J33" i="2"/>
  <c r="H33" i="2"/>
  <c r="L33" i="2"/>
  <c r="U33" i="2"/>
  <c r="K33" i="2"/>
  <c r="I33" i="2"/>
  <c r="G33" i="2"/>
  <c r="F33" i="2"/>
  <c r="C20" i="2" l="1"/>
  <c r="F44" i="1"/>
  <c r="P40" i="2" l="1"/>
  <c r="P44" i="2" s="1"/>
  <c r="P46" i="2" s="1"/>
  <c r="N40" i="2"/>
  <c r="N44" i="2" s="1"/>
  <c r="N46" i="2" s="1"/>
  <c r="M40" i="2"/>
  <c r="M44" i="2" s="1"/>
  <c r="M46" i="2" s="1"/>
  <c r="O40" i="2"/>
  <c r="O44" i="2" s="1"/>
  <c r="O46" i="2" s="1"/>
  <c r="L40" i="2"/>
  <c r="L44" i="2" s="1"/>
  <c r="L46" i="2" s="1"/>
  <c r="K40" i="2"/>
  <c r="K44" i="2" s="1"/>
  <c r="K46" i="2" s="1"/>
  <c r="J40" i="2"/>
  <c r="J44" i="2" s="1"/>
  <c r="J46" i="2" s="1"/>
  <c r="I40" i="2"/>
  <c r="I44" i="2" s="1"/>
  <c r="I46" i="2" s="1"/>
  <c r="Q40" i="2"/>
  <c r="Q44" i="2" s="1"/>
  <c r="Q46" i="2" s="1"/>
  <c r="D40" i="2"/>
  <c r="D44" i="2" s="1"/>
  <c r="D46" i="2" s="1"/>
  <c r="T40" i="2"/>
  <c r="T44" i="2" s="1"/>
  <c r="T46" i="2" s="1"/>
  <c r="R40" i="2"/>
  <c r="R44" i="2" s="1"/>
  <c r="R46" i="2" s="1"/>
  <c r="H40" i="2"/>
  <c r="H44" i="2" s="1"/>
  <c r="H46" i="2" s="1"/>
  <c r="G40" i="2"/>
  <c r="G44" i="2" s="1"/>
  <c r="G46" i="2" s="1"/>
  <c r="F40" i="2"/>
  <c r="F44" i="2" s="1"/>
  <c r="F46" i="2" s="1"/>
  <c r="E40" i="2"/>
  <c r="E44" i="2" s="1"/>
  <c r="E46" i="2" s="1"/>
  <c r="C44" i="2"/>
  <c r="C46" i="2" s="1"/>
  <c r="B40" i="2"/>
  <c r="U40" i="2"/>
  <c r="U44" i="2" s="1"/>
  <c r="U46" i="2" s="1"/>
  <c r="V40" i="2"/>
  <c r="V44" i="2" s="1"/>
  <c r="V46" i="2" s="1"/>
  <c r="S40" i="2"/>
  <c r="S44" i="2" s="1"/>
  <c r="S46" i="2" s="1"/>
  <c r="B44" i="2" l="1"/>
  <c r="B46" i="2" s="1"/>
  <c r="B47" i="2" l="1"/>
  <c r="B49" i="2"/>
  <c r="B48" i="2"/>
  <c r="C47" i="2"/>
  <c r="D47" i="2" l="1"/>
  <c r="C48" i="2"/>
  <c r="E47" i="2" l="1"/>
  <c r="D48" i="2"/>
  <c r="E48" i="2" l="1"/>
  <c r="F47" i="2"/>
  <c r="G47" i="2" l="1"/>
  <c r="F48" i="2"/>
  <c r="H47" i="2" l="1"/>
  <c r="G48" i="2"/>
  <c r="I47" i="2" l="1"/>
  <c r="H48" i="2"/>
  <c r="J47" i="2" l="1"/>
  <c r="I48" i="2"/>
  <c r="J48" i="2" l="1"/>
  <c r="K47" i="2"/>
  <c r="K48" i="2" l="1"/>
  <c r="L47" i="2"/>
  <c r="L48" i="2" l="1"/>
  <c r="B51" i="2" s="1"/>
  <c r="B50" i="2"/>
  <c r="M47" i="2"/>
  <c r="M48" i="2" l="1"/>
  <c r="N47" i="2"/>
  <c r="N48" i="2" l="1"/>
  <c r="O47" i="2"/>
  <c r="P47" i="2" l="1"/>
  <c r="O48" i="2"/>
  <c r="P48" i="2" l="1"/>
  <c r="Q47" i="2"/>
  <c r="R47" i="2" l="1"/>
  <c r="Q48" i="2"/>
  <c r="R48" i="2" l="1"/>
  <c r="S47" i="2"/>
  <c r="T47" i="2" l="1"/>
  <c r="S48" i="2"/>
  <c r="U47" i="2" l="1"/>
  <c r="T48" i="2"/>
  <c r="U48" i="2" l="1"/>
  <c r="V47" i="2"/>
  <c r="V48" i="2" s="1"/>
</calcChain>
</file>

<file path=xl/sharedStrings.xml><?xml version="1.0" encoding="utf-8"?>
<sst xmlns="http://schemas.openxmlformats.org/spreadsheetml/2006/main" count="220" uniqueCount="163">
  <si>
    <t>Форелевое хозяйство 500 т</t>
  </si>
  <si>
    <t>Производительность</t>
  </si>
  <si>
    <t>kг/год</t>
  </si>
  <si>
    <t>Площадь производственного корпуса</t>
  </si>
  <si>
    <t>m²</t>
  </si>
  <si>
    <t>Персонал</t>
  </si>
  <si>
    <t>Tax</t>
  </si>
  <si>
    <t>персонал</t>
  </si>
  <si>
    <t>зарплата</t>
  </si>
  <si>
    <t>всего</t>
  </si>
  <si>
    <t>Соц. Налог</t>
  </si>
  <si>
    <t>Риски</t>
  </si>
  <si>
    <t xml:space="preserve">Директор-инженер </t>
  </si>
  <si>
    <t xml:space="preserve">Помощник директора </t>
  </si>
  <si>
    <t>Секретарь</t>
  </si>
  <si>
    <t>Бухгалтер</t>
  </si>
  <si>
    <t>Рыбовод</t>
  </si>
  <si>
    <t>Оператор</t>
  </si>
  <si>
    <t>Инженер</t>
  </si>
  <si>
    <t>Охранная фирма</t>
  </si>
  <si>
    <t>Всего:</t>
  </si>
  <si>
    <t>€</t>
  </si>
  <si>
    <t>буфер +10%</t>
  </si>
  <si>
    <t>Инвестиции</t>
  </si>
  <si>
    <t>Земля</t>
  </si>
  <si>
    <t>Стоимость технологического проекта и консультационного сопровождения проекта</t>
  </si>
  <si>
    <t>Разработка технического проекта и местные согласования</t>
  </si>
  <si>
    <t>Оборудование</t>
  </si>
  <si>
    <t>Солнечные панели</t>
  </si>
  <si>
    <t>Установка оборудования</t>
  </si>
  <si>
    <t>Строительство</t>
  </si>
  <si>
    <t>Production costs</t>
  </si>
  <si>
    <t>Статья расходов</t>
  </si>
  <si>
    <t>Кол-во</t>
  </si>
  <si>
    <t>ед.</t>
  </si>
  <si>
    <t>цена/ед.</t>
  </si>
  <si>
    <t>Затраты</t>
  </si>
  <si>
    <t>общий</t>
  </si>
  <si>
    <t>за 1 кг</t>
  </si>
  <si>
    <t>Вода</t>
  </si>
  <si>
    <r>
      <rPr>
        <sz val="9"/>
        <rFont val="Arial Cyr"/>
      </rPr>
      <t>m</t>
    </r>
    <r>
      <rPr>
        <sz val="9"/>
        <rFont val="Arial"/>
      </rPr>
      <t>³/year</t>
    </r>
  </si>
  <si>
    <t>Корм (feed ratio 1.0)</t>
  </si>
  <si>
    <t>kg/year</t>
  </si>
  <si>
    <t>Мальки</t>
  </si>
  <si>
    <t>1/year</t>
  </si>
  <si>
    <t>Электричество</t>
  </si>
  <si>
    <t>kWt/year</t>
  </si>
  <si>
    <t>Зарплата</t>
  </si>
  <si>
    <t>people</t>
  </si>
  <si>
    <t>Обогрев (gas, efficiency = 95%)</t>
  </si>
  <si>
    <t>m³</t>
  </si>
  <si>
    <t>Другие расходы</t>
  </si>
  <si>
    <t>Здание</t>
  </si>
  <si>
    <t>Оценка</t>
  </si>
  <si>
    <t>База</t>
  </si>
  <si>
    <t>Амортизация</t>
  </si>
  <si>
    <t>€/год</t>
  </si>
  <si>
    <t>Операционные затраты</t>
  </si>
  <si>
    <t>Total:</t>
  </si>
  <si>
    <t>Прочие затраты, включающие амортизацию (по обслуживанию и замене оборудования).</t>
  </si>
  <si>
    <t xml:space="preserve">В данный расчет не включены расходы на доставку (оборудование, корма, мальки), </t>
  </si>
  <si>
    <t>таможенные сборы и налоги.</t>
  </si>
  <si>
    <t>Author: Vasiliy Krasnoborodko. 2024. Email: info@catfish.lv</t>
  </si>
  <si>
    <t>Copyright © 2024 by Vasiliy Krasnoborodko</t>
  </si>
  <si>
    <t>Cash Flow</t>
  </si>
  <si>
    <t>Основные данные</t>
  </si>
  <si>
    <t>Параметры</t>
  </si>
  <si>
    <t>Продолжительность проекта</t>
  </si>
  <si>
    <t>годы</t>
  </si>
  <si>
    <t>Цена капитала или инфляция</t>
  </si>
  <si>
    <t>*</t>
  </si>
  <si>
    <t>Годовое производство</t>
  </si>
  <si>
    <t>тонн/год</t>
  </si>
  <si>
    <t>Средний приход</t>
  </si>
  <si>
    <t>€/Kg</t>
  </si>
  <si>
    <t>Общие инвестиции</t>
  </si>
  <si>
    <t>€*1000</t>
  </si>
  <si>
    <t>Евро фонды 60% дотация</t>
  </si>
  <si>
    <t>Корм</t>
  </si>
  <si>
    <t>Зарплата персоналу</t>
  </si>
  <si>
    <t>Обогрев</t>
  </si>
  <si>
    <t>Индексация затрат и цен реализации с учетом инфляции не производится.</t>
  </si>
  <si>
    <t>Cash Flow [€*1000]</t>
  </si>
  <si>
    <t>Года</t>
  </si>
  <si>
    <t>В год производство [т/год]</t>
  </si>
  <si>
    <t>Приход от продажи [€/кг]</t>
  </si>
  <si>
    <t>Всего в год [€*1000/год]</t>
  </si>
  <si>
    <t>Всего инвестиций</t>
  </si>
  <si>
    <t>Оборотные средства  [€*1000/год]</t>
  </si>
  <si>
    <t>Всего оборотных средств</t>
  </si>
  <si>
    <t>Кэш фло, без налогов</t>
  </si>
  <si>
    <t>Суммирование по годам</t>
  </si>
  <si>
    <t>Capitalized Cash flow</t>
  </si>
  <si>
    <t>Ставка внутр. доходности</t>
  </si>
  <si>
    <t>Кэш фло за 10 лет, без инфляции</t>
  </si>
  <si>
    <t>Кэш фло за 10 лет, с учетом инфляции  [€*1000/год]</t>
  </si>
  <si>
    <t>Список этапов</t>
  </si>
  <si>
    <t>№</t>
  </si>
  <si>
    <t>Этап</t>
  </si>
  <si>
    <t>Дней</t>
  </si>
  <si>
    <t>Дата начала</t>
  </si>
  <si>
    <t>Дата окончания</t>
  </si>
  <si>
    <t>Стоимость</t>
  </si>
  <si>
    <t>Месяцы 1-ого года</t>
  </si>
  <si>
    <t>Месяцы 2-ого года</t>
  </si>
  <si>
    <t>(EUR)</t>
  </si>
  <si>
    <t>(LV)</t>
  </si>
  <si>
    <t>1.</t>
  </si>
  <si>
    <t>Проектирование  УЗВ</t>
  </si>
  <si>
    <t>1.1.</t>
  </si>
  <si>
    <t>Подготовка технологического проекта и консультативное сопровождение проекта</t>
  </si>
  <si>
    <t>1.2.</t>
  </si>
  <si>
    <t>Разработка и местное согласование эскизного проекта</t>
  </si>
  <si>
    <t>Подготовка и местное согласование технического проекта</t>
  </si>
  <si>
    <t>2.</t>
  </si>
  <si>
    <t>Строительство  здания</t>
  </si>
  <si>
    <t>2.1.</t>
  </si>
  <si>
    <t>Подготовка площадки</t>
  </si>
  <si>
    <t>2.2.</t>
  </si>
  <si>
    <t>Фундамент</t>
  </si>
  <si>
    <t>2.3.</t>
  </si>
  <si>
    <t>2.4.</t>
  </si>
  <si>
    <t>Внутренняя отделка</t>
  </si>
  <si>
    <t>2.5.</t>
  </si>
  <si>
    <t>Подключение к внешним инженерным сетям</t>
  </si>
  <si>
    <t>3.</t>
  </si>
  <si>
    <t>Покупка оборудования и монтаж</t>
  </si>
  <si>
    <t>3.1.</t>
  </si>
  <si>
    <t>3.2.</t>
  </si>
  <si>
    <t>Монтаж</t>
  </si>
  <si>
    <t>4.</t>
  </si>
  <si>
    <t>Запуск УЗВ</t>
  </si>
  <si>
    <t>5.</t>
  </si>
  <si>
    <t>Реализация рыбы</t>
  </si>
  <si>
    <t>Платежи</t>
  </si>
  <si>
    <t>6.</t>
  </si>
  <si>
    <t>Время работы УЗВ</t>
  </si>
  <si>
    <t>В первом году работаем</t>
  </si>
  <si>
    <t>месяца</t>
  </si>
  <si>
    <t>Во втором году работаем</t>
  </si>
  <si>
    <t>месяцев</t>
  </si>
  <si>
    <t>В первом году затраты меньше</t>
  </si>
  <si>
    <t>Урожай когда</t>
  </si>
  <si>
    <t>В перво году начинаем получать рыбу</t>
  </si>
  <si>
    <t>Если 12 месяц, значит не получаем рыбу в этом году.</t>
  </si>
  <si>
    <t>Во втором годе начинаем получать рыбу</t>
  </si>
  <si>
    <t>месяц</t>
  </si>
  <si>
    <t>Поставки каждый</t>
  </si>
  <si>
    <t>Комплект оборудования для рыбной фермы</t>
  </si>
  <si>
    <t>Технический проект, строительный и авторский надзор</t>
  </si>
  <si>
    <t>Технологический проект и авторский надзор</t>
  </si>
  <si>
    <t>Общая сумма инвестиций в основные средства</t>
  </si>
  <si>
    <t>Кислород сжиженный</t>
  </si>
  <si>
    <t>Соль</t>
  </si>
  <si>
    <t>Сода</t>
  </si>
  <si>
    <t>T/year</t>
  </si>
  <si>
    <t>Author: Vasiliy Krasnoborodko. 2026. Email: info@catfish.lv</t>
  </si>
  <si>
    <t>Copyright © 2026 by Vasiliy Krasnoborodko</t>
  </si>
  <si>
    <t>Кислород Сжиженный</t>
  </si>
  <si>
    <t>7.</t>
  </si>
  <si>
    <t>8.</t>
  </si>
  <si>
    <t>9.</t>
  </si>
  <si>
    <t>€/T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</si>
</sst>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[Red]\-#,##0\ "/>
    <numFmt numFmtId="165" formatCode="_ * #,##0_ ;_ * \-#,##0_ ;_ * \-??_ ;_ @_ "/>
    <numFmt numFmtId="166" formatCode="[$-409]d\-mmm"/>
    <numFmt numFmtId="167" formatCode="0.000"/>
  </numFmts>
  <fonts count="34">
    <font>
      <sz val="10"/>
      <color rgb="FF000000"/>
      <name val="Calibri"/>
      <scheme val="minor"/>
    </font>
    <font>
      <b/>
      <u/>
      <sz val="16"/>
      <color rgb="FF000080"/>
      <name val="David"/>
    </font>
    <font>
      <b/>
      <sz val="9"/>
      <color rgb="FF000080"/>
      <name val="Arial"/>
    </font>
    <font>
      <sz val="9"/>
      <name val="Arial"/>
    </font>
    <font>
      <sz val="9"/>
      <color rgb="FF000080"/>
      <name val="Arial"/>
    </font>
    <font>
      <b/>
      <sz val="9"/>
      <name val="Arial"/>
    </font>
    <font>
      <sz val="10"/>
      <name val="Calibri"/>
    </font>
    <font>
      <sz val="10"/>
      <name val="Arial"/>
    </font>
    <font>
      <sz val="9"/>
      <name val="Arimo"/>
    </font>
    <font>
      <b/>
      <sz val="9"/>
      <name val="Arimo"/>
    </font>
    <font>
      <b/>
      <sz val="9"/>
      <color rgb="FF000080"/>
      <name val="Arimo"/>
    </font>
    <font>
      <sz val="9"/>
      <color rgb="FF000080"/>
      <name val="Arimo"/>
    </font>
    <font>
      <b/>
      <sz val="11"/>
      <name val="Arimo"/>
    </font>
    <font>
      <sz val="10"/>
      <color rgb="FF000080"/>
      <name val="Arial"/>
    </font>
    <font>
      <i/>
      <u/>
      <sz val="16"/>
      <color rgb="FF000080"/>
      <name val="Arial"/>
    </font>
    <font>
      <u/>
      <sz val="10"/>
      <color rgb="FF000080"/>
      <name val="Arial"/>
    </font>
    <font>
      <b/>
      <i/>
      <sz val="8"/>
      <color rgb="FF000080"/>
      <name val="Arial"/>
    </font>
    <font>
      <sz val="8"/>
      <name val="Arial"/>
    </font>
    <font>
      <b/>
      <sz val="8"/>
      <color rgb="FF000080"/>
      <name val="Arial"/>
    </font>
    <font>
      <sz val="8"/>
      <color rgb="FF000080"/>
      <name val="Arial"/>
    </font>
    <font>
      <sz val="8"/>
      <name val="Arimo"/>
    </font>
    <font>
      <b/>
      <u/>
      <sz val="8"/>
      <color rgb="FF000080"/>
      <name val="Arial"/>
    </font>
    <font>
      <b/>
      <sz val="8"/>
      <name val="Arial"/>
    </font>
    <font>
      <u/>
      <sz val="8"/>
      <color rgb="FF000080"/>
      <name val="Arial"/>
    </font>
    <font>
      <i/>
      <sz val="10"/>
      <color rgb="FF000080"/>
      <name val="Arimo"/>
    </font>
    <font>
      <sz val="12"/>
      <name val="Arial"/>
    </font>
    <font>
      <b/>
      <sz val="9"/>
      <color rgb="FFFF0000"/>
      <name val="Arimo"/>
    </font>
    <font>
      <b/>
      <sz val="9"/>
      <color rgb="FFFF0000"/>
      <name val="Arial"/>
    </font>
    <font>
      <b/>
      <sz val="10"/>
      <color rgb="FF000080"/>
      <name val="Arial"/>
    </font>
    <font>
      <sz val="9"/>
      <name val="Arial Cyr"/>
    </font>
    <font>
      <sz val="10"/>
      <color rgb="FF000080"/>
      <name val="Arial"/>
      <family val="2"/>
      <charset val="204"/>
    </font>
    <font>
      <sz val="8"/>
      <color rgb="FF000080"/>
      <name val="Arial"/>
      <family val="2"/>
      <charset val="204"/>
    </font>
    <font>
      <b/>
      <sz val="9"/>
      <color rgb="FF000080"/>
      <name val="Arial"/>
      <family val="2"/>
      <charset val="204"/>
    </font>
    <font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000080"/>
        <bgColor rgb="FF000080"/>
      </patternFill>
    </fill>
    <fill>
      <patternFill patternType="solid">
        <fgColor rgb="FFC0C0C0"/>
        <bgColor rgb="FFC0C0C0"/>
      </patternFill>
    </fill>
    <fill>
      <patternFill patternType="solid">
        <fgColor rgb="FF3366FF"/>
        <bgColor rgb="FF3366FF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003366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33CCCC"/>
        <bgColor rgb="FF33CCCC"/>
      </patternFill>
    </fill>
    <fill>
      <patternFill patternType="solid">
        <fgColor rgb="FF008080"/>
        <bgColor rgb="FF008080"/>
      </patternFill>
    </fill>
    <fill>
      <patternFill patternType="solid">
        <fgColor rgb="FFCC99FF"/>
        <bgColor rgb="FFCC99FF"/>
      </patternFill>
    </fill>
    <fill>
      <patternFill patternType="solid">
        <fgColor rgb="FF008000"/>
        <bgColor rgb="FF008000"/>
      </patternFill>
    </fill>
    <fill>
      <patternFill patternType="solid">
        <fgColor rgb="FF969696"/>
        <bgColor rgb="FF969696"/>
      </patternFill>
    </fill>
    <fill>
      <patternFill patternType="solid">
        <fgColor rgb="FF808080"/>
        <bgColor rgb="FF80808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thin">
        <color rgb="FF000000"/>
      </left>
      <right/>
      <top style="thick">
        <color rgb="FFFFFFFF"/>
      </top>
      <bottom/>
      <diagonal/>
    </border>
    <border>
      <left style="thin">
        <color rgb="FF000000"/>
      </left>
      <right style="thin">
        <color rgb="FF000000"/>
      </right>
      <top style="thick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38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/>
    <xf numFmtId="0" fontId="4" fillId="0" borderId="2" xfId="0" applyFont="1" applyBorder="1" applyAlignment="1"/>
    <xf numFmtId="0" fontId="5" fillId="0" borderId="2" xfId="0" applyFont="1" applyBorder="1" applyAlignment="1"/>
    <xf numFmtId="1" fontId="3" fillId="0" borderId="2" xfId="0" applyNumberFormat="1" applyFont="1" applyBorder="1" applyAlignment="1"/>
    <xf numFmtId="0" fontId="3" fillId="0" borderId="3" xfId="0" applyFont="1" applyBorder="1" applyAlignment="1"/>
    <xf numFmtId="0" fontId="3" fillId="0" borderId="6" xfId="0" applyFont="1" applyBorder="1" applyAlignment="1"/>
    <xf numFmtId="0" fontId="3" fillId="0" borderId="2" xfId="0" applyFont="1" applyBorder="1" applyAlignment="1"/>
    <xf numFmtId="10" fontId="3" fillId="0" borderId="2" xfId="0" applyNumberFormat="1" applyFont="1" applyBorder="1" applyAlignment="1"/>
    <xf numFmtId="2" fontId="3" fillId="0" borderId="2" xfId="0" applyNumberFormat="1" applyFont="1" applyBorder="1" applyAlignment="1"/>
    <xf numFmtId="0" fontId="4" fillId="0" borderId="0" xfId="0" applyFont="1" applyAlignment="1">
      <alignment horizontal="right" wrapText="1"/>
    </xf>
    <xf numFmtId="0" fontId="4" fillId="0" borderId="2" xfId="0" applyFont="1" applyBorder="1" applyAlignment="1">
      <alignment horizontal="right"/>
    </xf>
    <xf numFmtId="0" fontId="3" fillId="0" borderId="7" xfId="0" applyFont="1" applyBorder="1" applyAlignment="1"/>
    <xf numFmtId="2" fontId="3" fillId="0" borderId="7" xfId="0" applyNumberFormat="1" applyFont="1" applyBorder="1" applyAlignment="1"/>
    <xf numFmtId="0" fontId="4" fillId="0" borderId="3" xfId="0" applyFont="1" applyBorder="1" applyAlignment="1">
      <alignment horizontal="right"/>
    </xf>
    <xf numFmtId="2" fontId="3" fillId="0" borderId="6" xfId="0" applyNumberFormat="1" applyFont="1" applyBorder="1" applyAlignment="1"/>
    <xf numFmtId="0" fontId="3" fillId="0" borderId="4" xfId="0" applyFont="1" applyBorder="1" applyAlignment="1"/>
    <xf numFmtId="0" fontId="3" fillId="0" borderId="0" xfId="0" applyFont="1" applyAlignment="1"/>
    <xf numFmtId="0" fontId="4" fillId="0" borderId="2" xfId="0" applyFont="1" applyBorder="1" applyAlignment="1">
      <alignment wrapText="1"/>
    </xf>
    <xf numFmtId="3" fontId="3" fillId="0" borderId="2" xfId="0" applyNumberFormat="1" applyFont="1" applyBorder="1" applyAlignment="1"/>
    <xf numFmtId="3" fontId="3" fillId="0" borderId="2" xfId="0" applyNumberFormat="1" applyFont="1" applyBorder="1" applyAlignment="1"/>
    <xf numFmtId="3" fontId="7" fillId="0" borderId="0" xfId="0" applyNumberFormat="1" applyFont="1" applyAlignment="1"/>
    <xf numFmtId="0" fontId="8" fillId="0" borderId="0" xfId="0" applyFont="1" applyAlignment="1"/>
    <xf numFmtId="1" fontId="9" fillId="0" borderId="0" xfId="0" applyNumberFormat="1" applyFont="1" applyAlignment="1"/>
    <xf numFmtId="0" fontId="2" fillId="0" borderId="9" xfId="0" applyFont="1" applyBorder="1" applyAlignment="1"/>
    <xf numFmtId="3" fontId="10" fillId="0" borderId="2" xfId="0" applyNumberFormat="1" applyFont="1" applyBorder="1" applyAlignment="1"/>
    <xf numFmtId="9" fontId="7" fillId="0" borderId="0" xfId="0" applyNumberFormat="1" applyFont="1" applyAlignment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2" fontId="3" fillId="0" borderId="2" xfId="0" applyNumberFormat="1" applyFont="1" applyBorder="1" applyAlignment="1"/>
    <xf numFmtId="0" fontId="11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2" fontId="10" fillId="0" borderId="2" xfId="0" applyNumberFormat="1" applyFont="1" applyBorder="1" applyAlignment="1"/>
    <xf numFmtId="0" fontId="9" fillId="0" borderId="0" xfId="0" applyFont="1" applyAlignment="1"/>
    <xf numFmtId="2" fontId="9" fillId="0" borderId="0" xfId="0" applyNumberFormat="1" applyFont="1" applyAlignment="1"/>
    <xf numFmtId="1" fontId="3" fillId="0" borderId="0" xfId="0" applyNumberFormat="1" applyFont="1" applyAlignment="1"/>
    <xf numFmtId="9" fontId="3" fillId="0" borderId="2" xfId="0" applyNumberFormat="1" applyFont="1" applyBorder="1" applyAlignment="1"/>
    <xf numFmtId="9" fontId="3" fillId="0" borderId="2" xfId="0" applyNumberFormat="1" applyFont="1" applyBorder="1" applyAlignment="1"/>
    <xf numFmtId="1" fontId="10" fillId="0" borderId="2" xfId="0" applyNumberFormat="1" applyFont="1" applyBorder="1" applyAlignment="1"/>
    <xf numFmtId="2" fontId="12" fillId="0" borderId="0" xfId="0" applyNumberFormat="1" applyFont="1" applyAlignment="1"/>
    <xf numFmtId="0" fontId="13" fillId="0" borderId="0" xfId="0" applyFont="1" applyAlignment="1"/>
    <xf numFmtId="0" fontId="4" fillId="0" borderId="0" xfId="0" applyFont="1" applyAlignment="1"/>
    <xf numFmtId="0" fontId="14" fillId="0" borderId="0" xfId="0" applyFont="1" applyAlignment="1">
      <alignment horizontal="center"/>
    </xf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2" xfId="0" applyFont="1" applyBorder="1" applyAlignment="1">
      <alignment horizontal="center"/>
    </xf>
    <xf numFmtId="0" fontId="19" fillId="0" borderId="2" xfId="0" applyFont="1" applyBorder="1" applyAlignment="1"/>
    <xf numFmtId="0" fontId="17" fillId="0" borderId="2" xfId="0" applyFont="1" applyBorder="1" applyAlignment="1"/>
    <xf numFmtId="9" fontId="17" fillId="0" borderId="2" xfId="0" applyNumberFormat="1" applyFont="1" applyBorder="1" applyAlignment="1"/>
    <xf numFmtId="0" fontId="20" fillId="0" borderId="0" xfId="0" applyFont="1" applyAlignment="1"/>
    <xf numFmtId="2" fontId="17" fillId="0" borderId="2" xfId="0" applyNumberFormat="1" applyFont="1" applyBorder="1" applyAlignment="1"/>
    <xf numFmtId="3" fontId="17" fillId="0" borderId="2" xfId="0" applyNumberFormat="1" applyFont="1" applyBorder="1" applyAlignment="1"/>
    <xf numFmtId="0" fontId="19" fillId="0" borderId="5" xfId="0" applyFont="1" applyBorder="1" applyAlignment="1"/>
    <xf numFmtId="0" fontId="17" fillId="0" borderId="5" xfId="0" applyFont="1" applyBorder="1" applyAlignment="1"/>
    <xf numFmtId="0" fontId="19" fillId="0" borderId="6" xfId="0" applyFont="1" applyBorder="1" applyAlignment="1"/>
    <xf numFmtId="0" fontId="17" fillId="0" borderId="6" xfId="0" applyFont="1" applyBorder="1" applyAlignment="1"/>
    <xf numFmtId="0" fontId="19" fillId="0" borderId="8" xfId="0" applyFont="1" applyBorder="1" applyAlignment="1"/>
    <xf numFmtId="0" fontId="17" fillId="0" borderId="8" xfId="0" applyFont="1" applyBorder="1" applyAlignment="1"/>
    <xf numFmtId="2" fontId="17" fillId="0" borderId="8" xfId="0" applyNumberFormat="1" applyFont="1" applyBorder="1" applyAlignment="1"/>
    <xf numFmtId="2" fontId="17" fillId="0" borderId="2" xfId="0" applyNumberFormat="1" applyFont="1" applyBorder="1" applyAlignment="1"/>
    <xf numFmtId="0" fontId="21" fillId="0" borderId="0" xfId="0" applyFont="1" applyAlignment="1"/>
    <xf numFmtId="2" fontId="18" fillId="0" borderId="0" xfId="0" applyNumberFormat="1" applyFont="1" applyAlignment="1"/>
    <xf numFmtId="0" fontId="22" fillId="0" borderId="0" xfId="0" applyFont="1" applyAlignment="1"/>
    <xf numFmtId="0" fontId="17" fillId="0" borderId="4" xfId="0" applyFont="1" applyBorder="1" applyAlignment="1"/>
    <xf numFmtId="0" fontId="19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2" borderId="12" xfId="0" applyFont="1" applyFill="1" applyBorder="1" applyAlignment="1">
      <alignment wrapText="1"/>
    </xf>
    <xf numFmtId="0" fontId="19" fillId="3" borderId="13" xfId="0" applyFont="1" applyFill="1" applyBorder="1" applyAlignment="1">
      <alignment horizontal="center"/>
    </xf>
    <xf numFmtId="0" fontId="19" fillId="3" borderId="13" xfId="0" applyFont="1" applyFill="1" applyBorder="1" applyAlignment="1"/>
    <xf numFmtId="0" fontId="19" fillId="3" borderId="14" xfId="0" applyFont="1" applyFill="1" applyBorder="1" applyAlignment="1"/>
    <xf numFmtId="0" fontId="19" fillId="0" borderId="7" xfId="0" applyFont="1" applyBorder="1" applyAlignment="1"/>
    <xf numFmtId="3" fontId="17" fillId="0" borderId="0" xfId="0" applyNumberFormat="1" applyFont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15" xfId="0" applyNumberFormat="1" applyFont="1" applyBorder="1" applyAlignment="1">
      <alignment horizontal="center"/>
    </xf>
    <xf numFmtId="1" fontId="17" fillId="0" borderId="0" xfId="0" applyNumberFormat="1" applyFont="1" applyAlignment="1">
      <alignment horizontal="center"/>
    </xf>
    <xf numFmtId="1" fontId="17" fillId="0" borderId="15" xfId="0" applyNumberFormat="1" applyFont="1" applyBorder="1" applyAlignment="1">
      <alignment horizontal="center"/>
    </xf>
    <xf numFmtId="0" fontId="19" fillId="4" borderId="12" xfId="0" applyFont="1" applyFill="1" applyBorder="1" applyAlignment="1"/>
    <xf numFmtId="0" fontId="17" fillId="4" borderId="13" xfId="0" applyFont="1" applyFill="1" applyBorder="1" applyAlignment="1">
      <alignment horizontal="center"/>
    </xf>
    <xf numFmtId="0" fontId="17" fillId="4" borderId="14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5" xfId="0" applyFont="1" applyBorder="1" applyAlignment="1">
      <alignment horizontal="center"/>
    </xf>
    <xf numFmtId="0" fontId="23" fillId="0" borderId="7" xfId="0" applyFont="1" applyBorder="1" applyAlignment="1"/>
    <xf numFmtId="0" fontId="19" fillId="0" borderId="15" xfId="0" applyFont="1" applyBorder="1" applyAlignment="1"/>
    <xf numFmtId="0" fontId="17" fillId="0" borderId="15" xfId="0" applyFont="1" applyBorder="1" applyAlignment="1"/>
    <xf numFmtId="0" fontId="16" fillId="0" borderId="7" xfId="0" applyFont="1" applyBorder="1" applyAlignment="1">
      <alignment horizontal="left"/>
    </xf>
    <xf numFmtId="1" fontId="19" fillId="0" borderId="0" xfId="0" applyNumberFormat="1" applyFont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164" fontId="17" fillId="0" borderId="15" xfId="0" applyNumberFormat="1" applyFont="1" applyBorder="1" applyAlignment="1">
      <alignment horizontal="center"/>
    </xf>
    <xf numFmtId="9" fontId="22" fillId="0" borderId="0" xfId="0" applyNumberFormat="1" applyFont="1" applyAlignment="1">
      <alignment horizontal="center"/>
    </xf>
    <xf numFmtId="0" fontId="18" fillId="0" borderId="0" xfId="0" applyFont="1" applyAlignment="1"/>
    <xf numFmtId="165" fontId="22" fillId="0" borderId="16" xfId="0" applyNumberFormat="1" applyFont="1" applyBorder="1" applyAlignment="1">
      <alignment horizontal="center"/>
    </xf>
    <xf numFmtId="0" fontId="18" fillId="0" borderId="8" xfId="0" applyFont="1" applyBorder="1" applyAlignment="1">
      <alignment wrapText="1"/>
    </xf>
    <xf numFmtId="165" fontId="22" fillId="0" borderId="1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" fontId="17" fillId="0" borderId="17" xfId="0" applyNumberFormat="1" applyFont="1" applyBorder="1" applyAlignment="1">
      <alignment horizontal="center"/>
    </xf>
    <xf numFmtId="0" fontId="24" fillId="0" borderId="0" xfId="0" applyFont="1" applyAlignment="1"/>
    <xf numFmtId="0" fontId="25" fillId="0" borderId="0" xfId="0" applyFont="1" applyAlignment="1"/>
    <xf numFmtId="0" fontId="18" fillId="0" borderId="2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19" fillId="0" borderId="0" xfId="0" applyFont="1" applyAlignment="1"/>
    <xf numFmtId="0" fontId="18" fillId="0" borderId="4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3" fontId="2" fillId="0" borderId="5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7" fillId="5" borderId="12" xfId="0" applyFont="1" applyFill="1" applyBorder="1" applyAlignment="1"/>
    <xf numFmtId="0" fontId="7" fillId="0" borderId="7" xfId="0" applyFont="1" applyBorder="1" applyAlignment="1"/>
    <xf numFmtId="0" fontId="5" fillId="0" borderId="7" xfId="0" applyFont="1" applyBorder="1" applyAlignment="1">
      <alignment vertical="top" wrapText="1"/>
    </xf>
    <xf numFmtId="0" fontId="7" fillId="0" borderId="15" xfId="0" applyFont="1" applyBorder="1" applyAlignment="1"/>
    <xf numFmtId="0" fontId="4" fillId="0" borderId="19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left" vertical="top" wrapText="1"/>
    </xf>
    <xf numFmtId="0" fontId="19" fillId="0" borderId="19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  <xf numFmtId="3" fontId="4" fillId="0" borderId="19" xfId="0" applyNumberFormat="1" applyFont="1" applyBorder="1" applyAlignment="1">
      <alignment horizontal="center" vertical="top" wrapText="1"/>
    </xf>
    <xf numFmtId="0" fontId="17" fillId="0" borderId="19" xfId="0" applyFont="1" applyBorder="1" applyAlignment="1">
      <alignment horizontal="center" vertical="top" wrapText="1"/>
    </xf>
    <xf numFmtId="0" fontId="3" fillId="6" borderId="12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4" fillId="0" borderId="8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center" vertical="top" wrapText="1"/>
    </xf>
    <xf numFmtId="3" fontId="4" fillId="0" borderId="22" xfId="0" applyNumberFormat="1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8" borderId="23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7" fillId="0" borderId="17" xfId="0" applyFont="1" applyBorder="1" applyAlignment="1"/>
    <xf numFmtId="0" fontId="7" fillId="0" borderId="8" xfId="0" applyFont="1" applyBorder="1" applyAlignment="1"/>
    <xf numFmtId="0" fontId="7" fillId="0" borderId="1" xfId="0" applyFont="1" applyBorder="1" applyAlignment="1"/>
    <xf numFmtId="0" fontId="2" fillId="0" borderId="16" xfId="0" applyFont="1" applyBorder="1" applyAlignment="1">
      <alignment horizontal="center" vertical="top" wrapText="1"/>
    </xf>
    <xf numFmtId="3" fontId="2" fillId="0" borderId="7" xfId="0" applyNumberFormat="1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9" borderId="12" xfId="0" applyFont="1" applyFill="1" applyBorder="1" applyAlignment="1">
      <alignment horizontal="center" vertical="top" wrapText="1"/>
    </xf>
    <xf numFmtId="0" fontId="5" fillId="9" borderId="12" xfId="0" applyFont="1" applyFill="1" applyBorder="1" applyAlignment="1">
      <alignment vertical="top" wrapText="1"/>
    </xf>
    <xf numFmtId="166" fontId="4" fillId="0" borderId="19" xfId="0" applyNumberFormat="1" applyFont="1" applyBorder="1" applyAlignment="1">
      <alignment horizontal="center" vertical="top" wrapText="1"/>
    </xf>
    <xf numFmtId="0" fontId="3" fillId="10" borderId="12" xfId="0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19" fillId="0" borderId="7" xfId="0" applyFont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top" wrapText="1"/>
    </xf>
    <xf numFmtId="3" fontId="18" fillId="0" borderId="7" xfId="0" applyNumberFormat="1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0" fontId="3" fillId="11" borderId="12" xfId="0" applyFont="1" applyFill="1" applyBorder="1" applyAlignment="1">
      <alignment horizontal="center" vertical="top" wrapText="1"/>
    </xf>
    <xf numFmtId="0" fontId="3" fillId="12" borderId="12" xfId="0" applyFont="1" applyFill="1" applyBorder="1" applyAlignment="1">
      <alignment horizontal="center" vertical="top" wrapText="1"/>
    </xf>
    <xf numFmtId="0" fontId="7" fillId="12" borderId="13" xfId="0" applyFont="1" applyFill="1" applyBorder="1" applyAlignment="1"/>
    <xf numFmtId="0" fontId="3" fillId="13" borderId="12" xfId="0" applyFont="1" applyFill="1" applyBorder="1" applyAlignment="1">
      <alignment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3" fontId="2" fillId="0" borderId="8" xfId="0" applyNumberFormat="1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14" borderId="23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7" fillId="0" borderId="5" xfId="0" applyFont="1" applyBorder="1" applyAlignment="1"/>
    <xf numFmtId="0" fontId="7" fillId="15" borderId="24" xfId="0" applyFont="1" applyFill="1" applyBorder="1" applyAlignment="1"/>
    <xf numFmtId="0" fontId="5" fillId="0" borderId="5" xfId="0" applyFont="1" applyBorder="1" applyAlignment="1">
      <alignment vertical="top" wrapText="1"/>
    </xf>
    <xf numFmtId="0" fontId="7" fillId="0" borderId="11" xfId="0" applyFont="1" applyBorder="1" applyAlignment="1"/>
    <xf numFmtId="3" fontId="19" fillId="0" borderId="7" xfId="0" applyNumberFormat="1" applyFont="1" applyBorder="1" applyAlignment="1">
      <alignment horizontal="center" vertical="top" wrapText="1"/>
    </xf>
    <xf numFmtId="0" fontId="5" fillId="16" borderId="12" xfId="0" applyFont="1" applyFill="1" applyBorder="1" applyAlignment="1">
      <alignment horizontal="center" vertical="top" wrapText="1"/>
    </xf>
    <xf numFmtId="3" fontId="19" fillId="0" borderId="19" xfId="0" applyNumberFormat="1" applyFont="1" applyBorder="1" applyAlignment="1">
      <alignment horizontal="center" vertical="top" wrapText="1"/>
    </xf>
    <xf numFmtId="0" fontId="5" fillId="17" borderId="23" xfId="0" applyFont="1" applyFill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7" fillId="0" borderId="2" xfId="0" applyFont="1" applyBorder="1" applyAlignment="1"/>
    <xf numFmtId="0" fontId="5" fillId="7" borderId="2" xfId="0" applyFont="1" applyFill="1" applyBorder="1" applyAlignment="1">
      <alignment horizontal="center" vertical="top" wrapText="1"/>
    </xf>
    <xf numFmtId="0" fontId="7" fillId="18" borderId="2" xfId="0" applyFont="1" applyFill="1" applyBorder="1" applyAlignment="1"/>
    <xf numFmtId="0" fontId="2" fillId="0" borderId="1" xfId="0" applyFont="1" applyBorder="1" applyAlignment="1">
      <alignment vertical="top" wrapText="1"/>
    </xf>
    <xf numFmtId="0" fontId="10" fillId="0" borderId="8" xfId="0" applyFont="1" applyBorder="1" applyAlignment="1">
      <alignment horizontal="center" vertical="top" wrapText="1"/>
    </xf>
    <xf numFmtId="0" fontId="26" fillId="0" borderId="8" xfId="0" applyFont="1" applyBorder="1" applyAlignment="1">
      <alignment horizontal="center" vertical="top" wrapText="1"/>
    </xf>
    <xf numFmtId="0" fontId="26" fillId="0" borderId="2" xfId="0" applyFont="1" applyBorder="1" applyAlignment="1">
      <alignment horizontal="center" vertical="top" wrapText="1"/>
    </xf>
    <xf numFmtId="0" fontId="26" fillId="0" borderId="2" xfId="0" applyFont="1" applyBorder="1" applyAlignment="1">
      <alignment vertical="top" wrapText="1"/>
    </xf>
    <xf numFmtId="0" fontId="7" fillId="19" borderId="2" xfId="0" applyFont="1" applyFill="1" applyBorder="1" applyAlignment="1"/>
    <xf numFmtId="0" fontId="7" fillId="19" borderId="25" xfId="0" applyFont="1" applyFill="1" applyBorder="1" applyAlignment="1"/>
    <xf numFmtId="0" fontId="27" fillId="0" borderId="0" xfId="0" applyFont="1" applyAlignment="1">
      <alignment horizontal="center" vertical="top" wrapText="1"/>
    </xf>
    <xf numFmtId="3" fontId="26" fillId="0" borderId="0" xfId="0" applyNumberFormat="1" applyFont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6" fillId="0" borderId="26" xfId="0" applyFont="1" applyBorder="1" applyAlignment="1">
      <alignment horizontal="center" vertical="top" wrapText="1"/>
    </xf>
    <xf numFmtId="0" fontId="26" fillId="0" borderId="27" xfId="0" applyFont="1" applyBorder="1" applyAlignment="1">
      <alignment vertical="top" wrapText="1"/>
    </xf>
    <xf numFmtId="0" fontId="26" fillId="0" borderId="28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26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8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9" fontId="13" fillId="0" borderId="0" xfId="0" applyNumberFormat="1" applyFont="1" applyAlignment="1"/>
    <xf numFmtId="0" fontId="7" fillId="0" borderId="29" xfId="0" applyFont="1" applyBorder="1" applyAlignment="1"/>
    <xf numFmtId="4" fontId="7" fillId="0" borderId="29" xfId="0" applyNumberFormat="1" applyFont="1" applyBorder="1" applyAlignment="1"/>
    <xf numFmtId="0" fontId="7" fillId="0" borderId="29" xfId="0" applyFont="1" applyBorder="1" applyAlignment="1">
      <alignment wrapText="1"/>
    </xf>
    <xf numFmtId="4" fontId="7" fillId="0" borderId="29" xfId="0" applyNumberFormat="1" applyFont="1" applyBorder="1" applyAlignment="1">
      <alignment wrapText="1"/>
    </xf>
    <xf numFmtId="0" fontId="4" fillId="0" borderId="29" xfId="0" applyFont="1" applyBorder="1" applyAlignment="1">
      <alignment wrapText="1"/>
    </xf>
    <xf numFmtId="167" fontId="3" fillId="0" borderId="2" xfId="0" applyNumberFormat="1" applyFont="1" applyBorder="1" applyAlignment="1"/>
    <xf numFmtId="0" fontId="30" fillId="0" borderId="0" xfId="0" applyFont="1" applyAlignment="1"/>
    <xf numFmtId="0" fontId="31" fillId="0" borderId="15" xfId="0" applyFont="1" applyBorder="1" applyAlignment="1"/>
    <xf numFmtId="0" fontId="2" fillId="0" borderId="23" xfId="0" applyFont="1" applyBorder="1" applyAlignment="1">
      <alignment horizontal="center" vertical="top" wrapText="1"/>
    </xf>
    <xf numFmtId="3" fontId="2" fillId="0" borderId="23" xfId="0" applyNumberFormat="1" applyFont="1" applyBorder="1" applyAlignment="1">
      <alignment horizontal="center" vertical="top" wrapText="1"/>
    </xf>
    <xf numFmtId="0" fontId="5" fillId="0" borderId="23" xfId="0" applyFont="1" applyBorder="1" applyAlignment="1">
      <alignment horizontal="center" vertical="top" wrapText="1"/>
    </xf>
    <xf numFmtId="0" fontId="32" fillId="0" borderId="6" xfId="0" applyFont="1" applyBorder="1" applyAlignment="1">
      <alignment vertical="top" wrapText="1"/>
    </xf>
    <xf numFmtId="0" fontId="32" fillId="0" borderId="2" xfId="0" applyFont="1" applyBorder="1" applyAlignment="1">
      <alignment horizontal="center" vertical="top" wrapText="1"/>
    </xf>
    <xf numFmtId="0" fontId="31" fillId="0" borderId="2" xfId="0" applyFont="1" applyBorder="1" applyAlignment="1"/>
    <xf numFmtId="0" fontId="33" fillId="0" borderId="2" xfId="0" applyFont="1" applyBorder="1" applyAlignment="1"/>
    <xf numFmtId="0" fontId="3" fillId="0" borderId="3" xfId="0" applyFont="1" applyBorder="1" applyAlignment="1">
      <alignment horizontal="left"/>
    </xf>
    <xf numFmtId="0" fontId="6" fillId="0" borderId="4" xfId="0" applyFont="1" applyBorder="1"/>
    <xf numFmtId="0" fontId="4" fillId="0" borderId="5" xfId="0" applyFont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6" fillId="0" borderId="6" xfId="0" applyFont="1" applyBorder="1"/>
    <xf numFmtId="0" fontId="10" fillId="0" borderId="3" xfId="0" applyFont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6" fillId="0" borderId="17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showGridLines="0" tabSelected="1" topLeftCell="A25" workbookViewId="0">
      <selection activeCell="H41" sqref="H41:H42"/>
    </sheetView>
  </sheetViews>
  <sheetFormatPr defaultColWidth="14.44140625" defaultRowHeight="15" customHeight="1"/>
  <cols>
    <col min="1" max="1" width="32.109375" customWidth="1"/>
    <col min="2" max="2" width="10.88671875" customWidth="1"/>
    <col min="3" max="3" width="11.109375" customWidth="1"/>
    <col min="4" max="4" width="8.88671875" customWidth="1"/>
    <col min="5" max="5" width="11.44140625" customWidth="1"/>
    <col min="6" max="6" width="6.88671875" customWidth="1"/>
    <col min="7" max="10" width="8.88671875" customWidth="1"/>
    <col min="11" max="11" width="8" customWidth="1"/>
  </cols>
  <sheetData>
    <row r="1" spans="1:6" ht="20.25" customHeight="1">
      <c r="A1" s="1" t="s">
        <v>0</v>
      </c>
    </row>
    <row r="2" spans="1:6" ht="20.25" customHeight="1">
      <c r="A2" s="1"/>
    </row>
    <row r="3" spans="1:6" ht="12.75" customHeight="1"/>
    <row r="4" spans="1:6" ht="12.75" customHeight="1">
      <c r="A4" s="2"/>
      <c r="B4" s="3"/>
      <c r="C4" s="3"/>
      <c r="D4" s="3"/>
      <c r="E4" s="3"/>
      <c r="F4" s="3"/>
    </row>
    <row r="5" spans="1:6" ht="12.75" customHeight="1">
      <c r="A5" s="4" t="s">
        <v>1</v>
      </c>
      <c r="B5" s="5">
        <v>500000</v>
      </c>
      <c r="C5" s="222" t="s">
        <v>2</v>
      </c>
      <c r="D5" s="223"/>
      <c r="E5" s="3"/>
      <c r="F5" s="3"/>
    </row>
    <row r="6" spans="1:6" ht="12.75" customHeight="1">
      <c r="A6" s="4" t="s">
        <v>3</v>
      </c>
      <c r="B6" s="6">
        <f>500*B5/100000</f>
        <v>2500</v>
      </c>
      <c r="C6" s="222" t="s">
        <v>4</v>
      </c>
      <c r="D6" s="223"/>
      <c r="E6" s="3"/>
      <c r="F6" s="3"/>
    </row>
    <row r="7" spans="1:6" ht="12.75" customHeight="1">
      <c r="A7" s="224" t="s">
        <v>5</v>
      </c>
      <c r="B7" s="7"/>
      <c r="C7" s="8"/>
      <c r="D7" s="8"/>
      <c r="E7" s="227" t="s">
        <v>6</v>
      </c>
      <c r="F7" s="223"/>
    </row>
    <row r="8" spans="1:6" ht="12.75" customHeight="1">
      <c r="A8" s="225"/>
      <c r="B8" s="228" t="s">
        <v>7</v>
      </c>
      <c r="C8" s="228" t="s">
        <v>8</v>
      </c>
      <c r="D8" s="228" t="s">
        <v>9</v>
      </c>
      <c r="E8" s="9" t="s">
        <v>10</v>
      </c>
      <c r="F8" s="9" t="s">
        <v>11</v>
      </c>
    </row>
    <row r="9" spans="1:6" ht="12.75" customHeight="1">
      <c r="A9" s="226"/>
      <c r="B9" s="226"/>
      <c r="C9" s="226"/>
      <c r="D9" s="226"/>
      <c r="E9" s="10">
        <v>0.4</v>
      </c>
      <c r="F9" s="11">
        <v>0</v>
      </c>
    </row>
    <row r="10" spans="1:6" ht="12.75" customHeight="1">
      <c r="A10" s="12" t="s">
        <v>12</v>
      </c>
      <c r="B10" s="9">
        <v>1</v>
      </c>
      <c r="C10" s="9">
        <v>3000</v>
      </c>
      <c r="D10" s="9">
        <f t="shared" ref="D10:D17" si="0">C10*B10</f>
        <v>3000</v>
      </c>
      <c r="E10" s="11">
        <f t="shared" ref="E10:E17" si="1">E$9*D10</f>
        <v>1200</v>
      </c>
      <c r="F10" s="11">
        <f t="shared" ref="F10:F17" si="2">B10*F$9</f>
        <v>0</v>
      </c>
    </row>
    <row r="11" spans="1:6" ht="12.75" customHeight="1">
      <c r="A11" s="12" t="s">
        <v>13</v>
      </c>
      <c r="B11" s="9">
        <v>1</v>
      </c>
      <c r="C11" s="9">
        <v>1500</v>
      </c>
      <c r="D11" s="9">
        <f t="shared" si="0"/>
        <v>1500</v>
      </c>
      <c r="E11" s="11">
        <f t="shared" si="1"/>
        <v>600</v>
      </c>
      <c r="F11" s="11">
        <f t="shared" si="2"/>
        <v>0</v>
      </c>
    </row>
    <row r="12" spans="1:6" ht="12.75" customHeight="1">
      <c r="A12" s="13" t="s">
        <v>14</v>
      </c>
      <c r="B12" s="9">
        <v>1</v>
      </c>
      <c r="C12" s="9">
        <v>800</v>
      </c>
      <c r="D12" s="9">
        <f t="shared" si="0"/>
        <v>800</v>
      </c>
      <c r="E12" s="11">
        <f t="shared" si="1"/>
        <v>320</v>
      </c>
      <c r="F12" s="11">
        <f t="shared" si="2"/>
        <v>0</v>
      </c>
    </row>
    <row r="13" spans="1:6" ht="12.75" customHeight="1">
      <c r="A13" s="13" t="s">
        <v>15</v>
      </c>
      <c r="B13" s="9">
        <v>1</v>
      </c>
      <c r="C13" s="9">
        <v>800</v>
      </c>
      <c r="D13" s="9">
        <f t="shared" si="0"/>
        <v>800</v>
      </c>
      <c r="E13" s="11">
        <f t="shared" si="1"/>
        <v>320</v>
      </c>
      <c r="F13" s="11">
        <f t="shared" si="2"/>
        <v>0</v>
      </c>
    </row>
    <row r="14" spans="1:6" ht="12.75" customHeight="1">
      <c r="A14" s="13" t="s">
        <v>16</v>
      </c>
      <c r="B14" s="9">
        <v>1</v>
      </c>
      <c r="C14" s="9">
        <v>2000</v>
      </c>
      <c r="D14" s="9">
        <f t="shared" si="0"/>
        <v>2000</v>
      </c>
      <c r="E14" s="11">
        <f t="shared" si="1"/>
        <v>800</v>
      </c>
      <c r="F14" s="11">
        <f t="shared" si="2"/>
        <v>0</v>
      </c>
    </row>
    <row r="15" spans="1:6" ht="12.75" customHeight="1">
      <c r="A15" s="13" t="s">
        <v>17</v>
      </c>
      <c r="B15" s="9">
        <v>4</v>
      </c>
      <c r="C15" s="9">
        <v>950</v>
      </c>
      <c r="D15" s="9">
        <f t="shared" si="0"/>
        <v>3800</v>
      </c>
      <c r="E15" s="11">
        <f t="shared" si="1"/>
        <v>1520</v>
      </c>
      <c r="F15" s="11">
        <f t="shared" si="2"/>
        <v>0</v>
      </c>
    </row>
    <row r="16" spans="1:6" ht="12.75" customHeight="1">
      <c r="A16" s="13" t="s">
        <v>18</v>
      </c>
      <c r="B16" s="9">
        <v>1</v>
      </c>
      <c r="C16" s="9">
        <v>1500</v>
      </c>
      <c r="D16" s="9">
        <f t="shared" si="0"/>
        <v>1500</v>
      </c>
      <c r="E16" s="11">
        <f t="shared" si="1"/>
        <v>600</v>
      </c>
      <c r="F16" s="11">
        <f t="shared" si="2"/>
        <v>0</v>
      </c>
    </row>
    <row r="17" spans="1:10" ht="12.75" customHeight="1">
      <c r="A17" s="13" t="s">
        <v>19</v>
      </c>
      <c r="B17" s="9">
        <v>1</v>
      </c>
      <c r="C17" s="9">
        <v>100</v>
      </c>
      <c r="D17" s="9">
        <f t="shared" si="0"/>
        <v>100</v>
      </c>
      <c r="E17" s="11">
        <f t="shared" si="1"/>
        <v>40</v>
      </c>
      <c r="F17" s="11">
        <f t="shared" si="2"/>
        <v>0</v>
      </c>
    </row>
    <row r="18" spans="1:10" ht="12.75" customHeight="1">
      <c r="A18" s="3"/>
      <c r="B18" s="8">
        <f>SUM(B10:B17)</f>
        <v>11</v>
      </c>
      <c r="C18" s="8"/>
      <c r="D18" s="14">
        <f t="shared" ref="D18:F18" si="3">SUM(D10:D17)</f>
        <v>13500</v>
      </c>
      <c r="E18" s="15">
        <f t="shared" si="3"/>
        <v>5400</v>
      </c>
      <c r="F18" s="15">
        <f t="shared" si="3"/>
        <v>0</v>
      </c>
    </row>
    <row r="19" spans="1:10" ht="12.75" customHeight="1">
      <c r="A19" s="16" t="s">
        <v>20</v>
      </c>
      <c r="B19" s="8"/>
      <c r="C19" s="8"/>
      <c r="D19" s="17">
        <f>(D18+E18+F18)*1.1</f>
        <v>20790</v>
      </c>
      <c r="E19" s="17" t="s">
        <v>21</v>
      </c>
      <c r="F19" s="18"/>
    </row>
    <row r="20" spans="1:10" ht="12.75" customHeight="1">
      <c r="A20" s="3"/>
      <c r="B20" s="3"/>
      <c r="C20" s="3"/>
      <c r="D20" s="19" t="s">
        <v>22</v>
      </c>
      <c r="E20" s="3"/>
      <c r="F20" s="3"/>
    </row>
    <row r="21" spans="1:10" ht="12.75" customHeight="1">
      <c r="A21" s="2" t="s">
        <v>23</v>
      </c>
      <c r="B21" s="3"/>
      <c r="C21" s="3"/>
      <c r="D21" s="3"/>
      <c r="E21" s="3"/>
      <c r="F21" s="3"/>
    </row>
    <row r="22" spans="1:10" ht="12.75" customHeight="1">
      <c r="A22" s="20" t="s">
        <v>24</v>
      </c>
      <c r="B22" s="21">
        <v>170000</v>
      </c>
      <c r="C22" s="3"/>
      <c r="D22" s="3"/>
      <c r="E22" s="3"/>
      <c r="F22" s="3"/>
    </row>
    <row r="23" spans="1:10" ht="36" customHeight="1">
      <c r="A23" s="20" t="s">
        <v>25</v>
      </c>
      <c r="B23" s="22">
        <v>40000</v>
      </c>
      <c r="C23" s="3"/>
      <c r="D23" s="3"/>
      <c r="E23" s="3"/>
      <c r="F23" s="3"/>
    </row>
    <row r="24" spans="1:10" ht="24" customHeight="1">
      <c r="A24" s="20" t="s">
        <v>26</v>
      </c>
      <c r="B24" s="22">
        <v>40000</v>
      </c>
      <c r="C24" s="3"/>
      <c r="D24" s="3"/>
      <c r="E24" s="3"/>
      <c r="F24" s="3"/>
    </row>
    <row r="25" spans="1:10" ht="12.75" customHeight="1">
      <c r="A25" s="20"/>
      <c r="B25" s="21"/>
      <c r="C25" s="3"/>
      <c r="D25" s="3"/>
      <c r="E25" s="3"/>
      <c r="F25" s="3"/>
    </row>
    <row r="26" spans="1:10" ht="12.75" customHeight="1">
      <c r="A26" s="20" t="s">
        <v>27</v>
      </c>
      <c r="B26" s="21">
        <v>2500000</v>
      </c>
      <c r="C26" s="3"/>
      <c r="D26" s="3"/>
      <c r="E26" s="3"/>
      <c r="F26" s="3"/>
    </row>
    <row r="27" spans="1:10" ht="12.75" customHeight="1">
      <c r="A27" s="20" t="s">
        <v>29</v>
      </c>
      <c r="B27" s="21">
        <v>105383</v>
      </c>
      <c r="C27" s="3"/>
      <c r="D27" s="3"/>
      <c r="E27" s="3"/>
      <c r="F27" s="3"/>
      <c r="G27" s="23"/>
    </row>
    <row r="28" spans="1:10" ht="12.75" customHeight="1">
      <c r="A28" s="4" t="s">
        <v>30</v>
      </c>
      <c r="B28" s="22">
        <v>2200000</v>
      </c>
      <c r="C28" s="3"/>
      <c r="D28" s="24"/>
      <c r="E28" s="25"/>
      <c r="F28" s="24"/>
    </row>
    <row r="29" spans="1:10" ht="12.75" customHeight="1">
      <c r="A29" s="26" t="s">
        <v>20</v>
      </c>
      <c r="B29" s="27">
        <f>SUM(B22:B28)</f>
        <v>5055383</v>
      </c>
      <c r="C29" s="3"/>
      <c r="D29" s="3"/>
      <c r="E29" s="3"/>
      <c r="F29" s="3"/>
      <c r="J29" s="28"/>
    </row>
    <row r="30" spans="1:10" ht="12.75" customHeight="1">
      <c r="A30" s="3"/>
      <c r="B30" s="3"/>
      <c r="C30" s="3"/>
      <c r="D30" s="3"/>
      <c r="E30" s="3"/>
      <c r="F30" s="3"/>
    </row>
    <row r="31" spans="1:10" ht="12.75" customHeight="1">
      <c r="A31" s="3"/>
      <c r="B31" s="3"/>
      <c r="C31" s="3"/>
      <c r="D31" s="3"/>
      <c r="E31" s="3"/>
      <c r="F31" s="3"/>
    </row>
    <row r="32" spans="1:10" ht="12.75" customHeight="1">
      <c r="A32" s="2" t="s">
        <v>31</v>
      </c>
      <c r="B32" s="3"/>
      <c r="C32" s="3"/>
      <c r="D32" s="3"/>
      <c r="E32" s="3"/>
      <c r="F32" s="3"/>
    </row>
    <row r="33" spans="1:6" ht="12.75" customHeight="1">
      <c r="A33" s="233" t="s">
        <v>32</v>
      </c>
      <c r="B33" s="233" t="s">
        <v>33</v>
      </c>
      <c r="C33" s="233" t="s">
        <v>34</v>
      </c>
      <c r="D33" s="233" t="s">
        <v>35</v>
      </c>
      <c r="E33" s="229" t="s">
        <v>36</v>
      </c>
      <c r="F33" s="223"/>
    </row>
    <row r="34" spans="1:6" ht="12.75" customHeight="1">
      <c r="A34" s="226"/>
      <c r="B34" s="226"/>
      <c r="C34" s="226"/>
      <c r="D34" s="226"/>
      <c r="E34" s="29" t="s">
        <v>37</v>
      </c>
      <c r="F34" s="29" t="s">
        <v>38</v>
      </c>
    </row>
    <row r="35" spans="1:6" ht="12.75" customHeight="1">
      <c r="A35" s="30" t="s">
        <v>39</v>
      </c>
      <c r="B35" s="9">
        <f>40*24*365*B5/100000</f>
        <v>1752000</v>
      </c>
      <c r="C35" s="31" t="s">
        <v>40</v>
      </c>
      <c r="D35" s="212">
        <f>15/445*D38</f>
        <v>4.3820224719101127E-3</v>
      </c>
      <c r="E35" s="21">
        <f t="shared" ref="E35:E43" si="4">D35*B35</f>
        <v>7677.3033707865179</v>
      </c>
      <c r="F35" s="11">
        <f t="shared" ref="F35:F43" si="5">E35/$B$5</f>
        <v>1.5354606741573035E-2</v>
      </c>
    </row>
    <row r="36" spans="1:6" ht="12.75" customHeight="1">
      <c r="A36" s="30" t="s">
        <v>41</v>
      </c>
      <c r="B36" s="9">
        <f>B5*1.2</f>
        <v>600000</v>
      </c>
      <c r="C36" s="31" t="s">
        <v>42</v>
      </c>
      <c r="D36" s="32">
        <v>1.6</v>
      </c>
      <c r="E36" s="21">
        <f t="shared" si="4"/>
        <v>960000</v>
      </c>
      <c r="F36" s="11">
        <f t="shared" si="5"/>
        <v>1.92</v>
      </c>
    </row>
    <row r="37" spans="1:6" ht="12.75" customHeight="1">
      <c r="A37" s="33" t="s">
        <v>43</v>
      </c>
      <c r="B37" s="6">
        <f>73000*B5/100000</f>
        <v>365000</v>
      </c>
      <c r="C37" s="31" t="s">
        <v>44</v>
      </c>
      <c r="D37" s="32">
        <v>0.19</v>
      </c>
      <c r="E37" s="21">
        <f t="shared" si="4"/>
        <v>69350</v>
      </c>
      <c r="F37" s="11">
        <f t="shared" si="5"/>
        <v>0.13869999999999999</v>
      </c>
    </row>
    <row r="38" spans="1:6" ht="12.75" customHeight="1">
      <c r="A38" s="30" t="s">
        <v>45</v>
      </c>
      <c r="B38" s="9">
        <f>B5*2.6</f>
        <v>1300000</v>
      </c>
      <c r="C38" s="31" t="s">
        <v>46</v>
      </c>
      <c r="D38" s="32">
        <v>0.13</v>
      </c>
      <c r="E38" s="21">
        <f t="shared" si="4"/>
        <v>169000</v>
      </c>
      <c r="F38" s="11">
        <f t="shared" si="5"/>
        <v>0.33800000000000002</v>
      </c>
    </row>
    <row r="39" spans="1:6" ht="12.75" customHeight="1">
      <c r="A39" s="30" t="s">
        <v>152</v>
      </c>
      <c r="B39" s="9">
        <f>B5*0.45</f>
        <v>225000</v>
      </c>
      <c r="C39" s="31" t="s">
        <v>42</v>
      </c>
      <c r="D39" s="32">
        <v>0.246</v>
      </c>
      <c r="E39" s="22">
        <f t="shared" si="4"/>
        <v>55350</v>
      </c>
      <c r="F39" s="32">
        <f t="shared" si="5"/>
        <v>0.11070000000000001</v>
      </c>
    </row>
    <row r="40" spans="1:6" ht="12.75" customHeight="1">
      <c r="A40" s="30" t="s">
        <v>153</v>
      </c>
      <c r="B40" s="6">
        <f>1.5/1000000*B5*365</f>
        <v>273.75</v>
      </c>
      <c r="C40" s="31" t="s">
        <v>155</v>
      </c>
      <c r="D40" s="32">
        <v>170</v>
      </c>
      <c r="E40" s="22">
        <f t="shared" si="4"/>
        <v>46537.5</v>
      </c>
      <c r="F40" s="32">
        <f t="shared" si="5"/>
        <v>9.3075000000000005E-2</v>
      </c>
    </row>
    <row r="41" spans="1:6" ht="12.75" customHeight="1">
      <c r="A41" s="30" t="s">
        <v>154</v>
      </c>
      <c r="B41" s="6">
        <f>B36*0.25/1000</f>
        <v>150</v>
      </c>
      <c r="C41" s="31" t="s">
        <v>155</v>
      </c>
      <c r="D41" s="32">
        <v>500</v>
      </c>
      <c r="E41" s="22">
        <f t="shared" ref="E41" si="6">D41*B41</f>
        <v>75000</v>
      </c>
      <c r="F41" s="32">
        <f t="shared" ref="F41" si="7">E41/$B$5</f>
        <v>0.15</v>
      </c>
    </row>
    <row r="42" spans="1:6" ht="12.75" customHeight="1">
      <c r="A42" s="30" t="s">
        <v>47</v>
      </c>
      <c r="B42" s="9">
        <f>B18</f>
        <v>11</v>
      </c>
      <c r="C42" s="31" t="s">
        <v>48</v>
      </c>
      <c r="D42" s="6">
        <f>D19/B42*12</f>
        <v>22680</v>
      </c>
      <c r="E42" s="21">
        <f t="shared" si="4"/>
        <v>249480</v>
      </c>
      <c r="F42" s="11">
        <f t="shared" si="5"/>
        <v>0.49896000000000001</v>
      </c>
    </row>
    <row r="43" spans="1:6" ht="12.75" customHeight="1">
      <c r="A43" s="30" t="s">
        <v>49</v>
      </c>
      <c r="B43" s="6">
        <f>0</f>
        <v>0</v>
      </c>
      <c r="C43" s="34" t="s">
        <v>50</v>
      </c>
      <c r="D43" s="11">
        <v>0.4</v>
      </c>
      <c r="E43" s="21">
        <f t="shared" si="4"/>
        <v>0</v>
      </c>
      <c r="F43" s="11">
        <f t="shared" si="5"/>
        <v>0</v>
      </c>
    </row>
    <row r="44" spans="1:6" ht="12.75" customHeight="1">
      <c r="A44" s="230" t="s">
        <v>20</v>
      </c>
      <c r="B44" s="231"/>
      <c r="C44" s="231"/>
      <c r="D44" s="223"/>
      <c r="E44" s="27">
        <f t="shared" ref="E44:F44" si="8">SUM(E35:E43)</f>
        <v>1632394.8033707864</v>
      </c>
      <c r="F44" s="35">
        <f t="shared" si="8"/>
        <v>3.2647896067415725</v>
      </c>
    </row>
    <row r="45" spans="1:6" ht="12.75" customHeight="1">
      <c r="A45" s="36"/>
      <c r="B45" s="3"/>
      <c r="C45" s="3"/>
      <c r="D45" s="3"/>
      <c r="E45" s="25"/>
      <c r="F45" s="37"/>
    </row>
    <row r="46" spans="1:6" ht="12.75" customHeight="1">
      <c r="A46" s="2" t="s">
        <v>51</v>
      </c>
      <c r="B46" s="3"/>
      <c r="C46" s="3"/>
      <c r="D46" s="3"/>
      <c r="E46" s="38"/>
      <c r="F46" s="3"/>
    </row>
    <row r="47" spans="1:6" ht="12.75" customHeight="1">
      <c r="A47" s="29" t="s">
        <v>52</v>
      </c>
      <c r="B47" s="29" t="s">
        <v>53</v>
      </c>
      <c r="C47" s="29" t="s">
        <v>34</v>
      </c>
      <c r="D47" s="29" t="s">
        <v>54</v>
      </c>
      <c r="E47" s="29" t="s">
        <v>37</v>
      </c>
      <c r="F47" s="29" t="s">
        <v>38</v>
      </c>
    </row>
    <row r="48" spans="1:6" ht="12.75" customHeight="1">
      <c r="A48" s="30" t="s">
        <v>55</v>
      </c>
      <c r="B48" s="39">
        <v>0.05</v>
      </c>
      <c r="C48" s="31" t="s">
        <v>56</v>
      </c>
      <c r="D48" s="21">
        <f>B28</f>
        <v>2200000</v>
      </c>
      <c r="E48" s="21">
        <f t="shared" ref="E48:E49" si="9">D48*B48</f>
        <v>110000</v>
      </c>
      <c r="F48" s="11">
        <f t="shared" ref="F48:F49" si="10">E48/$B$5</f>
        <v>0.22</v>
      </c>
    </row>
    <row r="49" spans="1:6" ht="12.75" customHeight="1">
      <c r="A49" s="30" t="s">
        <v>57</v>
      </c>
      <c r="B49" s="40">
        <v>0.02</v>
      </c>
      <c r="C49" s="31" t="s">
        <v>56</v>
      </c>
      <c r="D49" s="21">
        <f>B28</f>
        <v>2200000</v>
      </c>
      <c r="E49" s="21">
        <f t="shared" si="9"/>
        <v>44000</v>
      </c>
      <c r="F49" s="11">
        <f t="shared" si="10"/>
        <v>8.7999999999999995E-2</v>
      </c>
    </row>
    <row r="50" spans="1:6" ht="12.75" customHeight="1">
      <c r="A50" s="232" t="s">
        <v>58</v>
      </c>
      <c r="B50" s="231"/>
      <c r="C50" s="231"/>
      <c r="D50" s="223"/>
      <c r="E50" s="41">
        <f t="shared" ref="E50:F50" si="11">SUM(E48:E49)</f>
        <v>154000</v>
      </c>
      <c r="F50" s="35">
        <f t="shared" si="11"/>
        <v>0.308</v>
      </c>
    </row>
    <row r="51" spans="1:6" ht="15" customHeight="1">
      <c r="A51" s="25" t="s">
        <v>59</v>
      </c>
      <c r="F51" s="42"/>
    </row>
    <row r="52" spans="1:6" ht="12.75" customHeight="1">
      <c r="A52" s="43"/>
    </row>
    <row r="53" spans="1:6" ht="12.75" customHeight="1">
      <c r="A53" s="44" t="s">
        <v>60</v>
      </c>
    </row>
    <row r="54" spans="1:6" ht="12.75" customHeight="1">
      <c r="A54" s="44" t="s">
        <v>61</v>
      </c>
    </row>
    <row r="55" spans="1:6" ht="12.75" customHeight="1">
      <c r="A55" s="43"/>
    </row>
    <row r="56" spans="1:6" ht="12.75" customHeight="1"/>
    <row r="57" spans="1:6" ht="12.75" hidden="1" customHeight="1">
      <c r="A57" s="43" t="s">
        <v>62</v>
      </c>
    </row>
    <row r="58" spans="1:6" ht="12.75" hidden="1" customHeight="1">
      <c r="A58" s="43" t="s">
        <v>63</v>
      </c>
    </row>
    <row r="59" spans="1:6" ht="12.75" customHeight="1"/>
    <row r="60" spans="1:6" ht="12.75" customHeight="1"/>
    <row r="61" spans="1:6" ht="12.75" customHeight="1"/>
    <row r="62" spans="1:6" ht="12.75" customHeight="1"/>
    <row r="63" spans="1:6" ht="12.75" customHeight="1"/>
    <row r="64" spans="1: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mergeCells count="14">
    <mergeCell ref="E33:F33"/>
    <mergeCell ref="A44:D44"/>
    <mergeCell ref="A50:D50"/>
    <mergeCell ref="A33:A34"/>
    <mergeCell ref="B33:B34"/>
    <mergeCell ref="C33:C34"/>
    <mergeCell ref="D33:D34"/>
    <mergeCell ref="C5:D5"/>
    <mergeCell ref="C6:D6"/>
    <mergeCell ref="A7:A9"/>
    <mergeCell ref="E7:F7"/>
    <mergeCell ref="B8:B9"/>
    <mergeCell ref="C8:C9"/>
    <mergeCell ref="D8:D9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6"/>
  <sheetViews>
    <sheetView showGridLines="0" workbookViewId="0">
      <selection activeCell="E2" sqref="E2"/>
    </sheetView>
  </sheetViews>
  <sheetFormatPr defaultColWidth="14.44140625" defaultRowHeight="15" customHeight="1"/>
  <cols>
    <col min="1" max="1" width="27" customWidth="1"/>
    <col min="2" max="2" width="9.88671875" customWidth="1"/>
    <col min="3" max="3" width="7" customWidth="1"/>
    <col min="4" max="5" width="7.109375" customWidth="1"/>
    <col min="6" max="6" width="7.33203125" customWidth="1"/>
    <col min="7" max="7" width="7.44140625" customWidth="1"/>
    <col min="8" max="8" width="7.88671875" customWidth="1"/>
    <col min="9" max="9" width="8.109375" customWidth="1"/>
    <col min="10" max="10" width="6.33203125" customWidth="1"/>
    <col min="11" max="11" width="6.44140625" customWidth="1"/>
    <col min="12" max="12" width="6.109375" customWidth="1"/>
    <col min="13" max="22" width="8.88671875" customWidth="1"/>
  </cols>
  <sheetData>
    <row r="1" spans="1:12" ht="20.25" customHeight="1">
      <c r="C1" s="45" t="s">
        <v>64</v>
      </c>
      <c r="D1" s="46"/>
      <c r="H1" s="47"/>
      <c r="I1" s="47"/>
      <c r="L1" s="47"/>
    </row>
    <row r="2" spans="1:12" ht="12.75" customHeight="1">
      <c r="A2" s="48" t="s">
        <v>65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12.75" customHeight="1">
      <c r="A3" s="50" t="s">
        <v>66</v>
      </c>
      <c r="B3" s="50"/>
      <c r="C3" s="50"/>
      <c r="D3" s="49"/>
      <c r="E3" s="49"/>
      <c r="F3" s="49"/>
      <c r="G3" s="49"/>
      <c r="H3" s="49"/>
      <c r="I3" s="49"/>
      <c r="J3" s="49"/>
      <c r="K3" s="49"/>
      <c r="L3" s="49"/>
    </row>
    <row r="4" spans="1:12" ht="12.75" customHeight="1">
      <c r="A4" s="51" t="s">
        <v>67</v>
      </c>
      <c r="B4" s="52" t="s">
        <v>68</v>
      </c>
      <c r="C4" s="52">
        <v>10</v>
      </c>
      <c r="D4" s="49"/>
      <c r="E4" s="49"/>
      <c r="F4" s="49"/>
      <c r="G4" s="49"/>
      <c r="H4" s="49"/>
      <c r="I4" s="49"/>
      <c r="J4" s="49"/>
      <c r="K4" s="49"/>
      <c r="L4" s="49"/>
    </row>
    <row r="5" spans="1:12" ht="12.75" customHeight="1">
      <c r="A5" s="51" t="s">
        <v>69</v>
      </c>
      <c r="B5" s="52"/>
      <c r="C5" s="53">
        <v>0.05</v>
      </c>
      <c r="D5" s="49"/>
      <c r="E5" s="54" t="s">
        <v>70</v>
      </c>
      <c r="F5" s="49"/>
      <c r="G5" s="49"/>
      <c r="H5" s="49"/>
      <c r="I5" s="49"/>
      <c r="J5" s="49"/>
      <c r="K5" s="49"/>
      <c r="L5" s="49"/>
    </row>
    <row r="6" spans="1:12" ht="12.75" customHeight="1">
      <c r="A6" s="51" t="s">
        <v>71</v>
      </c>
      <c r="B6" s="52" t="s">
        <v>72</v>
      </c>
      <c r="C6" s="52">
        <f>'Cost price'!B5/1000</f>
        <v>500</v>
      </c>
      <c r="D6" s="49"/>
      <c r="E6" s="54" t="s">
        <v>70</v>
      </c>
      <c r="F6" s="49"/>
      <c r="G6" s="49"/>
      <c r="H6" s="49"/>
      <c r="I6" s="49"/>
      <c r="J6" s="49"/>
      <c r="K6" s="49"/>
      <c r="L6" s="49"/>
    </row>
    <row r="7" spans="1:12" ht="12.75" customHeight="1">
      <c r="A7" s="51" t="s">
        <v>73</v>
      </c>
      <c r="B7" s="52" t="s">
        <v>74</v>
      </c>
      <c r="C7" s="55">
        <v>5</v>
      </c>
      <c r="D7" s="49"/>
      <c r="E7" s="54" t="s">
        <v>70</v>
      </c>
      <c r="F7" s="49"/>
      <c r="G7" s="49"/>
      <c r="H7" s="49"/>
      <c r="I7" s="49"/>
      <c r="J7" s="49"/>
      <c r="K7" s="49"/>
      <c r="L7" s="49"/>
    </row>
    <row r="8" spans="1:12" ht="12.75" customHeight="1">
      <c r="A8" s="51" t="s">
        <v>75</v>
      </c>
      <c r="B8" s="52" t="s">
        <v>76</v>
      </c>
      <c r="C8" s="56">
        <f>'Cost price'!B29/1000</f>
        <v>5055.3829999999998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2.75" customHeight="1">
      <c r="A9" s="57" t="s">
        <v>77</v>
      </c>
      <c r="B9" s="58" t="s">
        <v>76</v>
      </c>
      <c r="C9" s="56">
        <v>3000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2.75" customHeight="1">
      <c r="A10" s="59"/>
      <c r="B10" s="60"/>
      <c r="C10" s="60"/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2.75" customHeight="1">
      <c r="A11" s="61" t="s">
        <v>39</v>
      </c>
      <c r="B11" s="62" t="s">
        <v>74</v>
      </c>
      <c r="C11" s="63">
        <f>'Cost price'!F35</f>
        <v>1.5354606741573035E-2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2.75" customHeight="1">
      <c r="A12" s="51" t="s">
        <v>78</v>
      </c>
      <c r="B12" s="52" t="s">
        <v>74</v>
      </c>
      <c r="C12" s="64">
        <f>'Cost price'!F36</f>
        <v>1.92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2.75" customHeight="1">
      <c r="A13" s="51" t="s">
        <v>43</v>
      </c>
      <c r="B13" s="52" t="s">
        <v>74</v>
      </c>
      <c r="C13" s="64">
        <f>'Cost price'!F37</f>
        <v>0.13869999999999999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2.75" customHeight="1">
      <c r="A14" s="51" t="s">
        <v>45</v>
      </c>
      <c r="B14" s="52" t="s">
        <v>74</v>
      </c>
      <c r="C14" s="64">
        <f>'Cost price'!F38</f>
        <v>0.33800000000000002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2.75" customHeight="1">
      <c r="A15" s="51" t="s">
        <v>152</v>
      </c>
      <c r="B15" s="52" t="s">
        <v>74</v>
      </c>
      <c r="C15" s="64">
        <f>'Cost price'!F39</f>
        <v>0.11070000000000001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2.75" customHeight="1">
      <c r="A16" s="220" t="s">
        <v>153</v>
      </c>
      <c r="B16" s="221" t="s">
        <v>162</v>
      </c>
      <c r="C16" s="64">
        <f>'Cost price'!F40</f>
        <v>9.3075000000000005E-2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22" ht="12.75" customHeight="1">
      <c r="A17" s="220" t="s">
        <v>154</v>
      </c>
      <c r="B17" s="221" t="s">
        <v>162</v>
      </c>
      <c r="C17" s="64">
        <f>'Cost price'!F41</f>
        <v>0.15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22" ht="12.75" customHeight="1">
      <c r="A18" s="51" t="s">
        <v>79</v>
      </c>
      <c r="B18" s="52" t="s">
        <v>74</v>
      </c>
      <c r="C18" s="64">
        <f>'Cost price'!F42</f>
        <v>0.49896000000000001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22" ht="12.75" customHeight="1">
      <c r="A19" s="51" t="s">
        <v>80</v>
      </c>
      <c r="B19" s="52" t="s">
        <v>74</v>
      </c>
      <c r="C19" s="64">
        <f>'Cost price'!F43</f>
        <v>0</v>
      </c>
      <c r="D19" s="65"/>
      <c r="E19" s="49"/>
      <c r="F19" s="49"/>
      <c r="G19" s="49"/>
      <c r="H19" s="49"/>
      <c r="I19" s="49"/>
      <c r="J19" s="49"/>
      <c r="K19" s="49"/>
      <c r="L19" s="49"/>
    </row>
    <row r="20" spans="1:22" ht="12.75" customHeight="1">
      <c r="A20" s="49"/>
      <c r="B20" s="49"/>
      <c r="C20" s="66">
        <f>SUM(C11:C19)</f>
        <v>3.2647896067415725</v>
      </c>
      <c r="D20" s="65"/>
      <c r="E20" s="67" t="s">
        <v>81</v>
      </c>
      <c r="F20" s="67"/>
      <c r="G20" s="67"/>
      <c r="H20" s="67"/>
      <c r="I20" s="49"/>
      <c r="J20" s="49"/>
      <c r="K20" s="49"/>
      <c r="L20" s="49"/>
    </row>
    <row r="21" spans="1:22" ht="12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spans="1:22" ht="12.75" customHeight="1">
      <c r="A22" s="48" t="s">
        <v>82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</row>
    <row r="23" spans="1:22" ht="12.75" customHeight="1">
      <c r="A23" s="68"/>
      <c r="B23" s="69">
        <v>0</v>
      </c>
      <c r="C23" s="69">
        <v>1</v>
      </c>
      <c r="D23" s="69">
        <v>2</v>
      </c>
      <c r="E23" s="69">
        <v>3</v>
      </c>
      <c r="F23" s="69">
        <v>4</v>
      </c>
      <c r="G23" s="69">
        <v>5</v>
      </c>
      <c r="H23" s="69">
        <v>6</v>
      </c>
      <c r="I23" s="69">
        <v>7</v>
      </c>
      <c r="J23" s="69">
        <v>8</v>
      </c>
      <c r="K23" s="69">
        <v>9</v>
      </c>
      <c r="L23" s="70">
        <v>10</v>
      </c>
      <c r="M23" s="70">
        <v>11</v>
      </c>
      <c r="N23" s="70">
        <v>12</v>
      </c>
      <c r="O23" s="70">
        <v>13</v>
      </c>
      <c r="P23" s="70">
        <v>14</v>
      </c>
      <c r="Q23" s="70">
        <v>15</v>
      </c>
      <c r="R23" s="70">
        <v>16</v>
      </c>
      <c r="S23" s="70">
        <v>17</v>
      </c>
      <c r="T23" s="70">
        <v>18</v>
      </c>
      <c r="U23" s="70">
        <v>19</v>
      </c>
      <c r="V23" s="70">
        <v>20</v>
      </c>
    </row>
    <row r="24" spans="1:22" ht="12.75" customHeight="1">
      <c r="A24" s="71" t="s">
        <v>83</v>
      </c>
      <c r="B24" s="72">
        <v>2026</v>
      </c>
      <c r="C24" s="72">
        <f t="shared" ref="C24:V24" si="0">B24+1</f>
        <v>2027</v>
      </c>
      <c r="D24" s="72">
        <f t="shared" si="0"/>
        <v>2028</v>
      </c>
      <c r="E24" s="72">
        <f t="shared" si="0"/>
        <v>2029</v>
      </c>
      <c r="F24" s="72">
        <f t="shared" si="0"/>
        <v>2030</v>
      </c>
      <c r="G24" s="72">
        <f t="shared" si="0"/>
        <v>2031</v>
      </c>
      <c r="H24" s="72">
        <f t="shared" si="0"/>
        <v>2032</v>
      </c>
      <c r="I24" s="72">
        <f t="shared" si="0"/>
        <v>2033</v>
      </c>
      <c r="J24" s="72">
        <f t="shared" si="0"/>
        <v>2034</v>
      </c>
      <c r="K24" s="72">
        <f t="shared" si="0"/>
        <v>2035</v>
      </c>
      <c r="L24" s="73">
        <f t="shared" si="0"/>
        <v>2036</v>
      </c>
      <c r="M24" s="73">
        <f t="shared" si="0"/>
        <v>2037</v>
      </c>
      <c r="N24" s="73">
        <f t="shared" si="0"/>
        <v>2038</v>
      </c>
      <c r="O24" s="73">
        <f t="shared" si="0"/>
        <v>2039</v>
      </c>
      <c r="P24" s="73">
        <f t="shared" si="0"/>
        <v>2040</v>
      </c>
      <c r="Q24" s="73">
        <f t="shared" si="0"/>
        <v>2041</v>
      </c>
      <c r="R24" s="73">
        <f t="shared" si="0"/>
        <v>2042</v>
      </c>
      <c r="S24" s="73">
        <f t="shared" si="0"/>
        <v>2043</v>
      </c>
      <c r="T24" s="73">
        <f t="shared" si="0"/>
        <v>2044</v>
      </c>
      <c r="U24" s="73">
        <f t="shared" si="0"/>
        <v>2045</v>
      </c>
      <c r="V24" s="73">
        <f t="shared" si="0"/>
        <v>2046</v>
      </c>
    </row>
    <row r="25" spans="1:22" ht="12.75" customHeight="1">
      <c r="A25" s="74"/>
      <c r="B25" s="75"/>
      <c r="C25" s="75"/>
      <c r="D25" s="75"/>
      <c r="E25" s="75"/>
      <c r="F25" s="75"/>
      <c r="G25" s="76"/>
      <c r="H25" s="76"/>
      <c r="I25" s="76"/>
      <c r="J25" s="76"/>
      <c r="K25" s="76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</row>
    <row r="26" spans="1:22" ht="12.75" customHeight="1">
      <c r="A26" s="78" t="s">
        <v>84</v>
      </c>
      <c r="B26" s="79">
        <f>$C$6*(12-Stages!C41)/12</f>
        <v>0</v>
      </c>
      <c r="C26" s="79">
        <v>0</v>
      </c>
      <c r="D26" s="79">
        <f t="shared" ref="D26:V26" si="1">$C$6</f>
        <v>500</v>
      </c>
      <c r="E26" s="79">
        <f t="shared" si="1"/>
        <v>500</v>
      </c>
      <c r="F26" s="79">
        <f t="shared" si="1"/>
        <v>500</v>
      </c>
      <c r="G26" s="79">
        <f t="shared" si="1"/>
        <v>500</v>
      </c>
      <c r="H26" s="79">
        <f t="shared" si="1"/>
        <v>500</v>
      </c>
      <c r="I26" s="79">
        <f t="shared" si="1"/>
        <v>500</v>
      </c>
      <c r="J26" s="79">
        <f t="shared" si="1"/>
        <v>500</v>
      </c>
      <c r="K26" s="79">
        <f t="shared" si="1"/>
        <v>500</v>
      </c>
      <c r="L26" s="80">
        <f t="shared" si="1"/>
        <v>500</v>
      </c>
      <c r="M26" s="80">
        <f t="shared" si="1"/>
        <v>500</v>
      </c>
      <c r="N26" s="80">
        <f t="shared" si="1"/>
        <v>500</v>
      </c>
      <c r="O26" s="80">
        <f t="shared" si="1"/>
        <v>500</v>
      </c>
      <c r="P26" s="80">
        <f t="shared" si="1"/>
        <v>500</v>
      </c>
      <c r="Q26" s="80">
        <f t="shared" si="1"/>
        <v>500</v>
      </c>
      <c r="R26" s="80">
        <f t="shared" si="1"/>
        <v>500</v>
      </c>
      <c r="S26" s="80">
        <f t="shared" si="1"/>
        <v>500</v>
      </c>
      <c r="T26" s="80">
        <f t="shared" si="1"/>
        <v>500</v>
      </c>
      <c r="U26" s="80">
        <f t="shared" si="1"/>
        <v>500</v>
      </c>
      <c r="V26" s="80">
        <f t="shared" si="1"/>
        <v>500</v>
      </c>
    </row>
    <row r="27" spans="1:22" ht="12.75" customHeight="1">
      <c r="A27" s="78" t="s">
        <v>85</v>
      </c>
      <c r="B27" s="81">
        <f t="shared" ref="B27:V27" si="2">$C$7</f>
        <v>5</v>
      </c>
      <c r="C27" s="81">
        <f t="shared" si="2"/>
        <v>5</v>
      </c>
      <c r="D27" s="81">
        <f t="shared" si="2"/>
        <v>5</v>
      </c>
      <c r="E27" s="81">
        <f t="shared" si="2"/>
        <v>5</v>
      </c>
      <c r="F27" s="81">
        <f t="shared" si="2"/>
        <v>5</v>
      </c>
      <c r="G27" s="81">
        <f t="shared" si="2"/>
        <v>5</v>
      </c>
      <c r="H27" s="81">
        <f t="shared" si="2"/>
        <v>5</v>
      </c>
      <c r="I27" s="81">
        <f t="shared" si="2"/>
        <v>5</v>
      </c>
      <c r="J27" s="81">
        <f t="shared" si="2"/>
        <v>5</v>
      </c>
      <c r="K27" s="81">
        <f t="shared" si="2"/>
        <v>5</v>
      </c>
      <c r="L27" s="82">
        <f t="shared" si="2"/>
        <v>5</v>
      </c>
      <c r="M27" s="82">
        <f t="shared" si="2"/>
        <v>5</v>
      </c>
      <c r="N27" s="82">
        <f t="shared" si="2"/>
        <v>5</v>
      </c>
      <c r="O27" s="82">
        <f t="shared" si="2"/>
        <v>5</v>
      </c>
      <c r="P27" s="82">
        <f t="shared" si="2"/>
        <v>5</v>
      </c>
      <c r="Q27" s="82">
        <f t="shared" si="2"/>
        <v>5</v>
      </c>
      <c r="R27" s="82">
        <f t="shared" si="2"/>
        <v>5</v>
      </c>
      <c r="S27" s="82">
        <f t="shared" si="2"/>
        <v>5</v>
      </c>
      <c r="T27" s="82">
        <f t="shared" si="2"/>
        <v>5</v>
      </c>
      <c r="U27" s="82">
        <f t="shared" si="2"/>
        <v>5</v>
      </c>
      <c r="V27" s="82">
        <f t="shared" si="2"/>
        <v>5</v>
      </c>
    </row>
    <row r="28" spans="1:22" ht="12.75" customHeight="1">
      <c r="A28" s="78" t="s">
        <v>86</v>
      </c>
      <c r="B28" s="83">
        <f t="shared" ref="B28:V28" si="3">B27*B26</f>
        <v>0</v>
      </c>
      <c r="C28" s="83">
        <f t="shared" si="3"/>
        <v>0</v>
      </c>
      <c r="D28" s="83">
        <f t="shared" si="3"/>
        <v>2500</v>
      </c>
      <c r="E28" s="83">
        <f t="shared" si="3"/>
        <v>2500</v>
      </c>
      <c r="F28" s="83">
        <f t="shared" si="3"/>
        <v>2500</v>
      </c>
      <c r="G28" s="83">
        <f t="shared" si="3"/>
        <v>2500</v>
      </c>
      <c r="H28" s="83">
        <f t="shared" si="3"/>
        <v>2500</v>
      </c>
      <c r="I28" s="83">
        <f t="shared" si="3"/>
        <v>2500</v>
      </c>
      <c r="J28" s="83">
        <f t="shared" si="3"/>
        <v>2500</v>
      </c>
      <c r="K28" s="83">
        <f t="shared" si="3"/>
        <v>2500</v>
      </c>
      <c r="L28" s="84">
        <f t="shared" si="3"/>
        <v>2500</v>
      </c>
      <c r="M28" s="84">
        <f t="shared" si="3"/>
        <v>2500</v>
      </c>
      <c r="N28" s="84">
        <f t="shared" si="3"/>
        <v>2500</v>
      </c>
      <c r="O28" s="84">
        <f t="shared" si="3"/>
        <v>2500</v>
      </c>
      <c r="P28" s="84">
        <f t="shared" si="3"/>
        <v>2500</v>
      </c>
      <c r="Q28" s="84">
        <f t="shared" si="3"/>
        <v>2500</v>
      </c>
      <c r="R28" s="84">
        <f t="shared" si="3"/>
        <v>2500</v>
      </c>
      <c r="S28" s="84">
        <f t="shared" si="3"/>
        <v>2500</v>
      </c>
      <c r="T28" s="84">
        <f t="shared" si="3"/>
        <v>2500</v>
      </c>
      <c r="U28" s="84">
        <f t="shared" si="3"/>
        <v>2500</v>
      </c>
      <c r="V28" s="84">
        <f t="shared" si="3"/>
        <v>2500</v>
      </c>
    </row>
    <row r="29" spans="1:22" ht="12.75" customHeight="1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</row>
    <row r="30" spans="1:22" ht="12.75" customHeight="1">
      <c r="A30" s="78" t="s">
        <v>87</v>
      </c>
      <c r="B30" s="79">
        <f>-C8+C9</f>
        <v>-2055.3829999999998</v>
      </c>
      <c r="C30" s="88"/>
      <c r="D30" s="88"/>
      <c r="E30" s="88"/>
      <c r="F30" s="88"/>
      <c r="G30" s="88"/>
      <c r="H30" s="88"/>
      <c r="I30" s="88"/>
      <c r="J30" s="88"/>
      <c r="K30" s="88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</row>
    <row r="31" spans="1:22" ht="12.75" customHeight="1">
      <c r="A31" s="78"/>
      <c r="B31" s="79"/>
      <c r="C31" s="88"/>
      <c r="D31" s="88"/>
      <c r="E31" s="88"/>
      <c r="F31" s="88"/>
      <c r="G31" s="88"/>
      <c r="H31" s="88"/>
      <c r="I31" s="88"/>
      <c r="J31" s="88"/>
      <c r="K31" s="88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</row>
    <row r="32" spans="1:22" ht="12.75" customHeight="1">
      <c r="A32" s="90" t="s">
        <v>88</v>
      </c>
      <c r="B32" s="79"/>
      <c r="C32" s="88"/>
      <c r="D32" s="88"/>
      <c r="E32" s="88"/>
      <c r="F32" s="88"/>
      <c r="G32" s="88"/>
      <c r="H32" s="88"/>
      <c r="I32" s="88"/>
      <c r="J32" s="88"/>
      <c r="K32" s="88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</row>
    <row r="33" spans="1:22" ht="12.75" customHeight="1">
      <c r="A33" s="91" t="s">
        <v>39</v>
      </c>
      <c r="B33" s="81">
        <f>$C11*$C$6*SUM(Stages!H$24:S$24)/12*Stages!C38</f>
        <v>0.57579775280898882</v>
      </c>
      <c r="C33" s="81">
        <f>$C11*$C$6*SUM(Stages!T24:AE24)/12</f>
        <v>7.6773033707865181</v>
      </c>
      <c r="D33" s="81">
        <f t="shared" ref="D33:V33" si="4">$C11*$C$6</f>
        <v>7.6773033707865181</v>
      </c>
      <c r="E33" s="81">
        <f t="shared" si="4"/>
        <v>7.6773033707865181</v>
      </c>
      <c r="F33" s="81">
        <f t="shared" si="4"/>
        <v>7.6773033707865181</v>
      </c>
      <c r="G33" s="81">
        <f t="shared" si="4"/>
        <v>7.6773033707865181</v>
      </c>
      <c r="H33" s="81">
        <f t="shared" si="4"/>
        <v>7.6773033707865181</v>
      </c>
      <c r="I33" s="81">
        <f t="shared" si="4"/>
        <v>7.6773033707865181</v>
      </c>
      <c r="J33" s="81">
        <f t="shared" si="4"/>
        <v>7.6773033707865181</v>
      </c>
      <c r="K33" s="81">
        <f t="shared" si="4"/>
        <v>7.6773033707865181</v>
      </c>
      <c r="L33" s="82">
        <f t="shared" si="4"/>
        <v>7.6773033707865181</v>
      </c>
      <c r="M33" s="82">
        <f t="shared" si="4"/>
        <v>7.6773033707865181</v>
      </c>
      <c r="N33" s="82">
        <f t="shared" si="4"/>
        <v>7.6773033707865181</v>
      </c>
      <c r="O33" s="82">
        <f t="shared" si="4"/>
        <v>7.6773033707865181</v>
      </c>
      <c r="P33" s="82">
        <f t="shared" si="4"/>
        <v>7.6773033707865181</v>
      </c>
      <c r="Q33" s="82">
        <f t="shared" si="4"/>
        <v>7.6773033707865181</v>
      </c>
      <c r="R33" s="82">
        <f t="shared" si="4"/>
        <v>7.6773033707865181</v>
      </c>
      <c r="S33" s="82">
        <f t="shared" si="4"/>
        <v>7.6773033707865181</v>
      </c>
      <c r="T33" s="82">
        <f t="shared" si="4"/>
        <v>7.6773033707865181</v>
      </c>
      <c r="U33" s="82">
        <f t="shared" si="4"/>
        <v>7.6773033707865181</v>
      </c>
      <c r="V33" s="82">
        <f t="shared" si="4"/>
        <v>7.6773033707865181</v>
      </c>
    </row>
    <row r="34" spans="1:22" ht="12.75" customHeight="1">
      <c r="A34" s="91" t="s">
        <v>78</v>
      </c>
      <c r="B34" s="81">
        <f>$C12*$C$6*SUM(Stages!H25:S25)/12*Stages!C45*Stages!C38</f>
        <v>72</v>
      </c>
      <c r="C34" s="81">
        <f>$C12*$C$6*SUM(Stages!T25:AE25)/12*Stages!C45</f>
        <v>960</v>
      </c>
      <c r="D34" s="81">
        <f t="shared" ref="D34:V34" si="5">$C12*$C$6</f>
        <v>960</v>
      </c>
      <c r="E34" s="81">
        <f t="shared" si="5"/>
        <v>960</v>
      </c>
      <c r="F34" s="81">
        <f t="shared" si="5"/>
        <v>960</v>
      </c>
      <c r="G34" s="81">
        <f t="shared" si="5"/>
        <v>960</v>
      </c>
      <c r="H34" s="81">
        <f t="shared" si="5"/>
        <v>960</v>
      </c>
      <c r="I34" s="81">
        <f t="shared" si="5"/>
        <v>960</v>
      </c>
      <c r="J34" s="81">
        <f t="shared" si="5"/>
        <v>960</v>
      </c>
      <c r="K34" s="81">
        <f t="shared" si="5"/>
        <v>960</v>
      </c>
      <c r="L34" s="82">
        <f t="shared" si="5"/>
        <v>960</v>
      </c>
      <c r="M34" s="82">
        <f t="shared" si="5"/>
        <v>960</v>
      </c>
      <c r="N34" s="82">
        <f t="shared" si="5"/>
        <v>960</v>
      </c>
      <c r="O34" s="82">
        <f t="shared" si="5"/>
        <v>960</v>
      </c>
      <c r="P34" s="82">
        <f t="shared" si="5"/>
        <v>960</v>
      </c>
      <c r="Q34" s="82">
        <f t="shared" si="5"/>
        <v>960</v>
      </c>
      <c r="R34" s="82">
        <f t="shared" si="5"/>
        <v>960</v>
      </c>
      <c r="S34" s="82">
        <f t="shared" si="5"/>
        <v>960</v>
      </c>
      <c r="T34" s="82">
        <f t="shared" si="5"/>
        <v>960</v>
      </c>
      <c r="U34" s="82">
        <f t="shared" si="5"/>
        <v>960</v>
      </c>
      <c r="V34" s="82">
        <f t="shared" si="5"/>
        <v>960</v>
      </c>
    </row>
    <row r="35" spans="1:22" ht="12.75" customHeight="1">
      <c r="A35" s="91" t="s">
        <v>43</v>
      </c>
      <c r="B35" s="81">
        <f>$C13*$C$6*SUM(Stages!H26:S26)/12*Stages!C48</f>
        <v>69.349999999999994</v>
      </c>
      <c r="C35" s="81">
        <f>$C13*$C$6*SUM(Stages!T26:AE26)/12*Stages!C48</f>
        <v>69.349999999999994</v>
      </c>
      <c r="D35" s="81">
        <f t="shared" ref="D35:V35" si="6">$C13*$C$6</f>
        <v>69.349999999999994</v>
      </c>
      <c r="E35" s="81">
        <f t="shared" si="6"/>
        <v>69.349999999999994</v>
      </c>
      <c r="F35" s="81">
        <f t="shared" si="6"/>
        <v>69.349999999999994</v>
      </c>
      <c r="G35" s="81">
        <f t="shared" si="6"/>
        <v>69.349999999999994</v>
      </c>
      <c r="H35" s="81">
        <f t="shared" si="6"/>
        <v>69.349999999999994</v>
      </c>
      <c r="I35" s="81">
        <f t="shared" si="6"/>
        <v>69.349999999999994</v>
      </c>
      <c r="J35" s="81">
        <f t="shared" si="6"/>
        <v>69.349999999999994</v>
      </c>
      <c r="K35" s="81">
        <f t="shared" si="6"/>
        <v>69.349999999999994</v>
      </c>
      <c r="L35" s="82">
        <f t="shared" si="6"/>
        <v>69.349999999999994</v>
      </c>
      <c r="M35" s="82">
        <f t="shared" si="6"/>
        <v>69.349999999999994</v>
      </c>
      <c r="N35" s="82">
        <f t="shared" si="6"/>
        <v>69.349999999999994</v>
      </c>
      <c r="O35" s="82">
        <f t="shared" si="6"/>
        <v>69.349999999999994</v>
      </c>
      <c r="P35" s="82">
        <f t="shared" si="6"/>
        <v>69.349999999999994</v>
      </c>
      <c r="Q35" s="82">
        <f t="shared" si="6"/>
        <v>69.349999999999994</v>
      </c>
      <c r="R35" s="82">
        <f t="shared" si="6"/>
        <v>69.349999999999994</v>
      </c>
      <c r="S35" s="82">
        <f t="shared" si="6"/>
        <v>69.349999999999994</v>
      </c>
      <c r="T35" s="82">
        <f t="shared" si="6"/>
        <v>69.349999999999994</v>
      </c>
      <c r="U35" s="82">
        <f t="shared" si="6"/>
        <v>69.349999999999994</v>
      </c>
      <c r="V35" s="82">
        <f t="shared" si="6"/>
        <v>69.349999999999994</v>
      </c>
    </row>
    <row r="36" spans="1:22" ht="12.75" customHeight="1">
      <c r="A36" s="91" t="s">
        <v>45</v>
      </c>
      <c r="B36" s="81">
        <f>$C14*$C$6*SUM(Stages!H27:S27)/12*Stages!C38</f>
        <v>12.674999999999999</v>
      </c>
      <c r="C36" s="81">
        <f>$C14*$C$6*SUM(Stages!T26:AE26)/12</f>
        <v>14.083333333333334</v>
      </c>
      <c r="D36" s="81">
        <f t="shared" ref="D36:V36" si="7">$C14*$C$6</f>
        <v>169</v>
      </c>
      <c r="E36" s="81">
        <f t="shared" si="7"/>
        <v>169</v>
      </c>
      <c r="F36" s="81">
        <f t="shared" si="7"/>
        <v>169</v>
      </c>
      <c r="G36" s="81">
        <f t="shared" si="7"/>
        <v>169</v>
      </c>
      <c r="H36" s="81">
        <f t="shared" si="7"/>
        <v>169</v>
      </c>
      <c r="I36" s="81">
        <f t="shared" si="7"/>
        <v>169</v>
      </c>
      <c r="J36" s="81">
        <f t="shared" si="7"/>
        <v>169</v>
      </c>
      <c r="K36" s="81">
        <f t="shared" si="7"/>
        <v>169</v>
      </c>
      <c r="L36" s="82">
        <f t="shared" si="7"/>
        <v>169</v>
      </c>
      <c r="M36" s="82">
        <f t="shared" si="7"/>
        <v>169</v>
      </c>
      <c r="N36" s="82">
        <f t="shared" si="7"/>
        <v>169</v>
      </c>
      <c r="O36" s="82">
        <f t="shared" si="7"/>
        <v>169</v>
      </c>
      <c r="P36" s="82">
        <f t="shared" si="7"/>
        <v>169</v>
      </c>
      <c r="Q36" s="82">
        <f t="shared" si="7"/>
        <v>169</v>
      </c>
      <c r="R36" s="82">
        <f t="shared" si="7"/>
        <v>169</v>
      </c>
      <c r="S36" s="82">
        <f t="shared" si="7"/>
        <v>169</v>
      </c>
      <c r="T36" s="82">
        <f t="shared" si="7"/>
        <v>169</v>
      </c>
      <c r="U36" s="82">
        <f t="shared" si="7"/>
        <v>169</v>
      </c>
      <c r="V36" s="82">
        <f t="shared" si="7"/>
        <v>169</v>
      </c>
    </row>
    <row r="37" spans="1:22" ht="12.75" customHeight="1">
      <c r="A37" s="91" t="s">
        <v>152</v>
      </c>
      <c r="B37" s="81">
        <f>$C15*$C$6*SUM(Stages!H28:S28)/12*Stages!C38</f>
        <v>4.1512500000000001</v>
      </c>
      <c r="C37" s="81">
        <f>$C15*$C$6*SUM(Stages!T27:AE27)/12</f>
        <v>55.35</v>
      </c>
      <c r="D37" s="81">
        <f t="shared" ref="D37:V37" si="8">$C15*$C$6</f>
        <v>55.35</v>
      </c>
      <c r="E37" s="81">
        <f t="shared" si="8"/>
        <v>55.35</v>
      </c>
      <c r="F37" s="81">
        <f t="shared" si="8"/>
        <v>55.35</v>
      </c>
      <c r="G37" s="81">
        <f t="shared" si="8"/>
        <v>55.35</v>
      </c>
      <c r="H37" s="81">
        <f t="shared" si="8"/>
        <v>55.35</v>
      </c>
      <c r="I37" s="81">
        <f t="shared" si="8"/>
        <v>55.35</v>
      </c>
      <c r="J37" s="81">
        <f t="shared" si="8"/>
        <v>55.35</v>
      </c>
      <c r="K37" s="81">
        <f t="shared" si="8"/>
        <v>55.35</v>
      </c>
      <c r="L37" s="82">
        <f t="shared" si="8"/>
        <v>55.35</v>
      </c>
      <c r="M37" s="82">
        <f t="shared" si="8"/>
        <v>55.35</v>
      </c>
      <c r="N37" s="82">
        <f t="shared" si="8"/>
        <v>55.35</v>
      </c>
      <c r="O37" s="82">
        <f t="shared" si="8"/>
        <v>55.35</v>
      </c>
      <c r="P37" s="82">
        <f t="shared" si="8"/>
        <v>55.35</v>
      </c>
      <c r="Q37" s="82">
        <f t="shared" si="8"/>
        <v>55.35</v>
      </c>
      <c r="R37" s="82">
        <f t="shared" si="8"/>
        <v>55.35</v>
      </c>
      <c r="S37" s="82">
        <f t="shared" si="8"/>
        <v>55.35</v>
      </c>
      <c r="T37" s="82">
        <f t="shared" si="8"/>
        <v>55.35</v>
      </c>
      <c r="U37" s="82">
        <f t="shared" si="8"/>
        <v>55.35</v>
      </c>
      <c r="V37" s="82">
        <f t="shared" si="8"/>
        <v>55.35</v>
      </c>
    </row>
    <row r="38" spans="1:22" ht="12.75" customHeight="1">
      <c r="A38" s="214" t="s">
        <v>153</v>
      </c>
      <c r="B38" s="81">
        <f>$C16*$C$6*SUM(Stages!H29:S29)/12*Stages!C38</f>
        <v>3.4903124999999999</v>
      </c>
      <c r="C38" s="81">
        <f>$C16*$C$6*SUM(Stages!T28:AE28)/12</f>
        <v>46.537500000000001</v>
      </c>
      <c r="D38" s="81">
        <f t="shared" ref="D38:V38" si="9">$C16*$C$6</f>
        <v>46.537500000000001</v>
      </c>
      <c r="E38" s="81">
        <f t="shared" si="9"/>
        <v>46.537500000000001</v>
      </c>
      <c r="F38" s="81">
        <f t="shared" si="9"/>
        <v>46.537500000000001</v>
      </c>
      <c r="G38" s="81">
        <f t="shared" si="9"/>
        <v>46.537500000000001</v>
      </c>
      <c r="H38" s="81">
        <f t="shared" si="9"/>
        <v>46.537500000000001</v>
      </c>
      <c r="I38" s="81">
        <f t="shared" si="9"/>
        <v>46.537500000000001</v>
      </c>
      <c r="J38" s="81">
        <f t="shared" si="9"/>
        <v>46.537500000000001</v>
      </c>
      <c r="K38" s="81">
        <f t="shared" si="9"/>
        <v>46.537500000000001</v>
      </c>
      <c r="L38" s="82">
        <f t="shared" si="9"/>
        <v>46.537500000000001</v>
      </c>
      <c r="M38" s="82">
        <f t="shared" si="9"/>
        <v>46.537500000000001</v>
      </c>
      <c r="N38" s="82">
        <f t="shared" si="9"/>
        <v>46.537500000000001</v>
      </c>
      <c r="O38" s="82">
        <f t="shared" si="9"/>
        <v>46.537500000000001</v>
      </c>
      <c r="P38" s="82">
        <f t="shared" si="9"/>
        <v>46.537500000000001</v>
      </c>
      <c r="Q38" s="82">
        <f t="shared" si="9"/>
        <v>46.537500000000001</v>
      </c>
      <c r="R38" s="82">
        <f t="shared" si="9"/>
        <v>46.537500000000001</v>
      </c>
      <c r="S38" s="82">
        <f t="shared" si="9"/>
        <v>46.537500000000001</v>
      </c>
      <c r="T38" s="82">
        <f t="shared" si="9"/>
        <v>46.537500000000001</v>
      </c>
      <c r="U38" s="82">
        <f t="shared" si="9"/>
        <v>46.537500000000001</v>
      </c>
      <c r="V38" s="82">
        <f t="shared" si="9"/>
        <v>46.537500000000001</v>
      </c>
    </row>
    <row r="39" spans="1:22" ht="12.75" customHeight="1">
      <c r="A39" s="214" t="s">
        <v>154</v>
      </c>
      <c r="B39" s="81">
        <f>$C17*$C$6*SUM(Stages!H30:S30)/12*Stages!C38</f>
        <v>5.625</v>
      </c>
      <c r="C39" s="81">
        <f>$C17*$C$6*SUM(Stages!T29:AE29)/12</f>
        <v>75</v>
      </c>
      <c r="D39" s="81">
        <f t="shared" ref="D39:V39" si="10">$C17*$C$6</f>
        <v>75</v>
      </c>
      <c r="E39" s="81">
        <f t="shared" si="10"/>
        <v>75</v>
      </c>
      <c r="F39" s="81">
        <f t="shared" si="10"/>
        <v>75</v>
      </c>
      <c r="G39" s="81">
        <f t="shared" si="10"/>
        <v>75</v>
      </c>
      <c r="H39" s="81">
        <f t="shared" si="10"/>
        <v>75</v>
      </c>
      <c r="I39" s="81">
        <f t="shared" si="10"/>
        <v>75</v>
      </c>
      <c r="J39" s="81">
        <f t="shared" si="10"/>
        <v>75</v>
      </c>
      <c r="K39" s="81">
        <f t="shared" si="10"/>
        <v>75</v>
      </c>
      <c r="L39" s="82">
        <f t="shared" si="10"/>
        <v>75</v>
      </c>
      <c r="M39" s="82">
        <f t="shared" si="10"/>
        <v>75</v>
      </c>
      <c r="N39" s="82">
        <f t="shared" si="10"/>
        <v>75</v>
      </c>
      <c r="O39" s="82">
        <f t="shared" si="10"/>
        <v>75</v>
      </c>
      <c r="P39" s="82">
        <f t="shared" si="10"/>
        <v>75</v>
      </c>
      <c r="Q39" s="82">
        <f t="shared" si="10"/>
        <v>75</v>
      </c>
      <c r="R39" s="82">
        <f t="shared" si="10"/>
        <v>75</v>
      </c>
      <c r="S39" s="82">
        <f t="shared" si="10"/>
        <v>75</v>
      </c>
      <c r="T39" s="82">
        <f t="shared" si="10"/>
        <v>75</v>
      </c>
      <c r="U39" s="82">
        <f t="shared" si="10"/>
        <v>75</v>
      </c>
      <c r="V39" s="82">
        <f t="shared" si="10"/>
        <v>75</v>
      </c>
    </row>
    <row r="40" spans="1:22" ht="12.75" customHeight="1">
      <c r="A40" s="91" t="s">
        <v>47</v>
      </c>
      <c r="B40" s="81">
        <f>$C18*$C$6*SUM(Stages!H31:S31)/12*Stages!C38</f>
        <v>18.711000000000002</v>
      </c>
      <c r="C40" s="81">
        <f>$C18*$C$6*SUM(Stages!T31:AE31)/12</f>
        <v>249.48000000000002</v>
      </c>
      <c r="D40" s="81">
        <f t="shared" ref="D40:V40" si="11">$C18*$C$6</f>
        <v>249.48000000000002</v>
      </c>
      <c r="E40" s="81">
        <f t="shared" si="11"/>
        <v>249.48000000000002</v>
      </c>
      <c r="F40" s="81">
        <f t="shared" si="11"/>
        <v>249.48000000000002</v>
      </c>
      <c r="G40" s="81">
        <f t="shared" si="11"/>
        <v>249.48000000000002</v>
      </c>
      <c r="H40" s="81">
        <f t="shared" si="11"/>
        <v>249.48000000000002</v>
      </c>
      <c r="I40" s="81">
        <f t="shared" si="11"/>
        <v>249.48000000000002</v>
      </c>
      <c r="J40" s="81">
        <f t="shared" si="11"/>
        <v>249.48000000000002</v>
      </c>
      <c r="K40" s="81">
        <f t="shared" si="11"/>
        <v>249.48000000000002</v>
      </c>
      <c r="L40" s="82">
        <f t="shared" si="11"/>
        <v>249.48000000000002</v>
      </c>
      <c r="M40" s="82">
        <f t="shared" si="11"/>
        <v>249.48000000000002</v>
      </c>
      <c r="N40" s="82">
        <f t="shared" si="11"/>
        <v>249.48000000000002</v>
      </c>
      <c r="O40" s="82">
        <f t="shared" si="11"/>
        <v>249.48000000000002</v>
      </c>
      <c r="P40" s="82">
        <f t="shared" si="11"/>
        <v>249.48000000000002</v>
      </c>
      <c r="Q40" s="82">
        <f t="shared" si="11"/>
        <v>249.48000000000002</v>
      </c>
      <c r="R40" s="82">
        <f t="shared" si="11"/>
        <v>249.48000000000002</v>
      </c>
      <c r="S40" s="82">
        <f t="shared" si="11"/>
        <v>249.48000000000002</v>
      </c>
      <c r="T40" s="82">
        <f t="shared" si="11"/>
        <v>249.48000000000002</v>
      </c>
      <c r="U40" s="82">
        <f t="shared" si="11"/>
        <v>249.48000000000002</v>
      </c>
      <c r="V40" s="82">
        <f t="shared" si="11"/>
        <v>249.48000000000002</v>
      </c>
    </row>
    <row r="41" spans="1:22" ht="12.75" customHeight="1">
      <c r="A41" s="91" t="s">
        <v>80</v>
      </c>
      <c r="B41" s="81">
        <f>$C19*$C$6*SUM(Stages!H32:S32)/12*Stages!C38</f>
        <v>0</v>
      </c>
      <c r="C41" s="81">
        <f>$C19*$C$6*SUM(Stages!T32:AE32)/12</f>
        <v>0</v>
      </c>
      <c r="D41" s="81">
        <f t="shared" ref="D41:V41" si="12">$C19*$C$6</f>
        <v>0</v>
      </c>
      <c r="E41" s="81">
        <f t="shared" si="12"/>
        <v>0</v>
      </c>
      <c r="F41" s="81">
        <f t="shared" si="12"/>
        <v>0</v>
      </c>
      <c r="G41" s="81">
        <f t="shared" si="12"/>
        <v>0</v>
      </c>
      <c r="H41" s="81">
        <f t="shared" si="12"/>
        <v>0</v>
      </c>
      <c r="I41" s="81">
        <f t="shared" si="12"/>
        <v>0</v>
      </c>
      <c r="J41" s="81">
        <f t="shared" si="12"/>
        <v>0</v>
      </c>
      <c r="K41" s="81">
        <f t="shared" si="12"/>
        <v>0</v>
      </c>
      <c r="L41" s="82">
        <f t="shared" si="12"/>
        <v>0</v>
      </c>
      <c r="M41" s="82">
        <f t="shared" si="12"/>
        <v>0</v>
      </c>
      <c r="N41" s="82">
        <f t="shared" si="12"/>
        <v>0</v>
      </c>
      <c r="O41" s="82">
        <f t="shared" si="12"/>
        <v>0</v>
      </c>
      <c r="P41" s="82">
        <f t="shared" si="12"/>
        <v>0</v>
      </c>
      <c r="Q41" s="82">
        <f t="shared" si="12"/>
        <v>0</v>
      </c>
      <c r="R41" s="82">
        <f t="shared" si="12"/>
        <v>0</v>
      </c>
      <c r="S41" s="82">
        <f t="shared" si="12"/>
        <v>0</v>
      </c>
      <c r="T41" s="82">
        <f t="shared" si="12"/>
        <v>0</v>
      </c>
      <c r="U41" s="82">
        <f t="shared" si="12"/>
        <v>0</v>
      </c>
      <c r="V41" s="82">
        <f t="shared" si="12"/>
        <v>0</v>
      </c>
    </row>
    <row r="42" spans="1:22" ht="12.75" customHeight="1">
      <c r="A42" s="92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</row>
    <row r="43" spans="1:22" ht="12.75" customHeight="1">
      <c r="A43" s="91" t="s">
        <v>51</v>
      </c>
      <c r="B43" s="81">
        <v>0</v>
      </c>
      <c r="C43" s="81">
        <f>'Cost price'!E50/1000</f>
        <v>154</v>
      </c>
      <c r="D43" s="81">
        <f>C43</f>
        <v>154</v>
      </c>
      <c r="E43" s="81">
        <f t="shared" ref="E43:V43" si="13">D43</f>
        <v>154</v>
      </c>
      <c r="F43" s="81">
        <f t="shared" si="13"/>
        <v>154</v>
      </c>
      <c r="G43" s="81">
        <f t="shared" si="13"/>
        <v>154</v>
      </c>
      <c r="H43" s="81">
        <f t="shared" si="13"/>
        <v>154</v>
      </c>
      <c r="I43" s="81">
        <f t="shared" si="13"/>
        <v>154</v>
      </c>
      <c r="J43" s="81">
        <f t="shared" si="13"/>
        <v>154</v>
      </c>
      <c r="K43" s="81">
        <f t="shared" si="13"/>
        <v>154</v>
      </c>
      <c r="L43" s="82">
        <f t="shared" si="13"/>
        <v>154</v>
      </c>
      <c r="M43" s="82">
        <f t="shared" si="13"/>
        <v>154</v>
      </c>
      <c r="N43" s="82">
        <f t="shared" si="13"/>
        <v>154</v>
      </c>
      <c r="O43" s="82">
        <f t="shared" si="13"/>
        <v>154</v>
      </c>
      <c r="P43" s="82">
        <f t="shared" si="13"/>
        <v>154</v>
      </c>
      <c r="Q43" s="82">
        <f t="shared" si="13"/>
        <v>154</v>
      </c>
      <c r="R43" s="82">
        <f t="shared" si="13"/>
        <v>154</v>
      </c>
      <c r="S43" s="82">
        <f t="shared" si="13"/>
        <v>154</v>
      </c>
      <c r="T43" s="82">
        <f t="shared" si="13"/>
        <v>154</v>
      </c>
      <c r="U43" s="82">
        <f t="shared" si="13"/>
        <v>154</v>
      </c>
      <c r="V43" s="82">
        <f t="shared" si="13"/>
        <v>154</v>
      </c>
    </row>
    <row r="44" spans="1:22" ht="12.75" customHeight="1">
      <c r="A44" s="93" t="s">
        <v>89</v>
      </c>
      <c r="B44" s="94">
        <f t="shared" ref="B44:V44" si="14">SUM(B33:B43)</f>
        <v>186.57836025280901</v>
      </c>
      <c r="C44" s="94">
        <f t="shared" si="14"/>
        <v>1631.4781367041196</v>
      </c>
      <c r="D44" s="94">
        <f t="shared" si="14"/>
        <v>1786.3948033707863</v>
      </c>
      <c r="E44" s="94">
        <f t="shared" si="14"/>
        <v>1786.3948033707863</v>
      </c>
      <c r="F44" s="94">
        <f t="shared" si="14"/>
        <v>1786.3948033707863</v>
      </c>
      <c r="G44" s="94">
        <f t="shared" si="14"/>
        <v>1786.3948033707863</v>
      </c>
      <c r="H44" s="94">
        <f t="shared" si="14"/>
        <v>1786.3948033707863</v>
      </c>
      <c r="I44" s="94">
        <f t="shared" si="14"/>
        <v>1786.3948033707863</v>
      </c>
      <c r="J44" s="94">
        <f t="shared" si="14"/>
        <v>1786.3948033707863</v>
      </c>
      <c r="K44" s="94">
        <f t="shared" si="14"/>
        <v>1786.3948033707863</v>
      </c>
      <c r="L44" s="95">
        <f t="shared" si="14"/>
        <v>1786.3948033707863</v>
      </c>
      <c r="M44" s="95">
        <f t="shared" si="14"/>
        <v>1786.3948033707863</v>
      </c>
      <c r="N44" s="95">
        <f t="shared" si="14"/>
        <v>1786.3948033707863</v>
      </c>
      <c r="O44" s="95">
        <f t="shared" si="14"/>
        <v>1786.3948033707863</v>
      </c>
      <c r="P44" s="95">
        <f t="shared" si="14"/>
        <v>1786.3948033707863</v>
      </c>
      <c r="Q44" s="95">
        <f t="shared" si="14"/>
        <v>1786.3948033707863</v>
      </c>
      <c r="R44" s="95">
        <f t="shared" si="14"/>
        <v>1786.3948033707863</v>
      </c>
      <c r="S44" s="95">
        <f t="shared" si="14"/>
        <v>1786.3948033707863</v>
      </c>
      <c r="T44" s="95">
        <f t="shared" si="14"/>
        <v>1786.3948033707863</v>
      </c>
      <c r="U44" s="95">
        <f t="shared" si="14"/>
        <v>1786.3948033707863</v>
      </c>
      <c r="V44" s="95">
        <f t="shared" si="14"/>
        <v>1786.3948033707863</v>
      </c>
    </row>
    <row r="45" spans="1:22" ht="12.75" customHeight="1">
      <c r="A45" s="85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</row>
    <row r="46" spans="1:22" ht="12.75" customHeight="1">
      <c r="A46" s="78" t="s">
        <v>90</v>
      </c>
      <c r="B46" s="96">
        <f t="shared" ref="B46:V46" si="15">-B44+B30+B28</f>
        <v>-2241.9613602528088</v>
      </c>
      <c r="C46" s="96">
        <f t="shared" si="15"/>
        <v>-1631.4781367041196</v>
      </c>
      <c r="D46" s="96">
        <f t="shared" si="15"/>
        <v>713.60519662921365</v>
      </c>
      <c r="E46" s="96">
        <f t="shared" si="15"/>
        <v>713.60519662921365</v>
      </c>
      <c r="F46" s="96">
        <f t="shared" si="15"/>
        <v>713.60519662921365</v>
      </c>
      <c r="G46" s="96">
        <f t="shared" si="15"/>
        <v>713.60519662921365</v>
      </c>
      <c r="H46" s="96">
        <f t="shared" si="15"/>
        <v>713.60519662921365</v>
      </c>
      <c r="I46" s="96">
        <f t="shared" si="15"/>
        <v>713.60519662921365</v>
      </c>
      <c r="J46" s="96">
        <f t="shared" si="15"/>
        <v>713.60519662921365</v>
      </c>
      <c r="K46" s="96">
        <f t="shared" si="15"/>
        <v>713.60519662921365</v>
      </c>
      <c r="L46" s="97">
        <f t="shared" si="15"/>
        <v>713.60519662921365</v>
      </c>
      <c r="M46" s="84">
        <f t="shared" si="15"/>
        <v>713.60519662921365</v>
      </c>
      <c r="N46" s="84">
        <f t="shared" si="15"/>
        <v>713.60519662921365</v>
      </c>
      <c r="O46" s="84">
        <f t="shared" si="15"/>
        <v>713.60519662921365</v>
      </c>
      <c r="P46" s="84">
        <f t="shared" si="15"/>
        <v>713.60519662921365</v>
      </c>
      <c r="Q46" s="84">
        <f t="shared" si="15"/>
        <v>713.60519662921365</v>
      </c>
      <c r="R46" s="84">
        <f t="shared" si="15"/>
        <v>713.60519662921365</v>
      </c>
      <c r="S46" s="84">
        <f t="shared" si="15"/>
        <v>713.60519662921365</v>
      </c>
      <c r="T46" s="84">
        <f t="shared" si="15"/>
        <v>713.60519662921365</v>
      </c>
      <c r="U46" s="84">
        <f t="shared" si="15"/>
        <v>713.60519662921365</v>
      </c>
      <c r="V46" s="84">
        <f t="shared" si="15"/>
        <v>713.60519662921365</v>
      </c>
    </row>
    <row r="47" spans="1:22" ht="12.75" customHeight="1">
      <c r="A47" s="78" t="s">
        <v>91</v>
      </c>
      <c r="B47" s="96">
        <f>B46</f>
        <v>-2241.9613602528088</v>
      </c>
      <c r="C47" s="96">
        <f t="shared" ref="C47:V47" si="16">B47+C46</f>
        <v>-3873.4394969569285</v>
      </c>
      <c r="D47" s="96">
        <f t="shared" si="16"/>
        <v>-3159.834300327715</v>
      </c>
      <c r="E47" s="96">
        <f t="shared" si="16"/>
        <v>-2446.2291036985016</v>
      </c>
      <c r="F47" s="96">
        <f t="shared" si="16"/>
        <v>-1732.623907069288</v>
      </c>
      <c r="G47" s="96">
        <f t="shared" si="16"/>
        <v>-1019.0187104400743</v>
      </c>
      <c r="H47" s="96">
        <f t="shared" si="16"/>
        <v>-305.41351381086065</v>
      </c>
      <c r="I47" s="96">
        <f t="shared" si="16"/>
        <v>408.191682818353</v>
      </c>
      <c r="J47" s="96">
        <f t="shared" si="16"/>
        <v>1121.7968794475667</v>
      </c>
      <c r="K47" s="96">
        <f t="shared" si="16"/>
        <v>1835.4020760767803</v>
      </c>
      <c r="L47" s="97">
        <f t="shared" si="16"/>
        <v>2549.0072727059942</v>
      </c>
      <c r="M47" s="84">
        <f t="shared" si="16"/>
        <v>3262.6124693352076</v>
      </c>
      <c r="N47" s="84">
        <f t="shared" si="16"/>
        <v>3976.217665964421</v>
      </c>
      <c r="O47" s="84">
        <f t="shared" si="16"/>
        <v>4689.8228625936345</v>
      </c>
      <c r="P47" s="84">
        <f t="shared" si="16"/>
        <v>5403.4280592228479</v>
      </c>
      <c r="Q47" s="84">
        <f t="shared" si="16"/>
        <v>6117.0332558520613</v>
      </c>
      <c r="R47" s="84">
        <f t="shared" si="16"/>
        <v>6830.6384524812747</v>
      </c>
      <c r="S47" s="84">
        <f t="shared" si="16"/>
        <v>7544.2436491104881</v>
      </c>
      <c r="T47" s="84">
        <f t="shared" si="16"/>
        <v>8257.8488457397016</v>
      </c>
      <c r="U47" s="84">
        <f t="shared" si="16"/>
        <v>8971.4540423689159</v>
      </c>
      <c r="V47" s="84">
        <f t="shared" si="16"/>
        <v>9685.0592389981302</v>
      </c>
    </row>
    <row r="48" spans="1:22" ht="12.75" customHeight="1">
      <c r="A48" s="78" t="s">
        <v>92</v>
      </c>
      <c r="B48" s="96">
        <f t="shared" ref="B48:V48" si="17">B47/(1+$C$5)^B23</f>
        <v>-2241.9613602528088</v>
      </c>
      <c r="C48" s="96">
        <f t="shared" si="17"/>
        <v>-3688.9899971018363</v>
      </c>
      <c r="D48" s="96">
        <f t="shared" si="17"/>
        <v>-2866.0628574401044</v>
      </c>
      <c r="E48" s="96">
        <f t="shared" si="17"/>
        <v>-2113.1446743967185</v>
      </c>
      <c r="F48" s="96">
        <f t="shared" si="17"/>
        <v>-1425.4339762294828</v>
      </c>
      <c r="G48" s="96">
        <f t="shared" si="17"/>
        <v>-798.42782375074398</v>
      </c>
      <c r="H48" s="96">
        <f t="shared" si="17"/>
        <v>-227.90426634655753</v>
      </c>
      <c r="I48" s="96">
        <f t="shared" si="17"/>
        <v>290.09420809339974</v>
      </c>
      <c r="J48" s="96">
        <f t="shared" si="17"/>
        <v>759.27628421106306</v>
      </c>
      <c r="K48" s="96">
        <f t="shared" si="17"/>
        <v>1183.1165430837484</v>
      </c>
      <c r="L48" s="97">
        <f t="shared" si="17"/>
        <v>1564.8693480859945</v>
      </c>
      <c r="M48" s="84">
        <f t="shared" si="17"/>
        <v>1907.5819391354553</v>
      </c>
      <c r="N48" s="84">
        <f t="shared" si="17"/>
        <v>2214.1067792276299</v>
      </c>
      <c r="O48" s="84">
        <f t="shared" si="17"/>
        <v>2487.1131947778385</v>
      </c>
      <c r="P48" s="84">
        <f t="shared" si="17"/>
        <v>2729.0983490302328</v>
      </c>
      <c r="Q48" s="84">
        <f t="shared" si="17"/>
        <v>2942.3975856559177</v>
      </c>
      <c r="R48" s="84">
        <f t="shared" si="17"/>
        <v>3129.1941776391795</v>
      </c>
      <c r="S48" s="84">
        <f t="shared" si="17"/>
        <v>3291.5285146361525</v>
      </c>
      <c r="T48" s="84">
        <f t="shared" si="17"/>
        <v>3431.3067601784505</v>
      </c>
      <c r="U48" s="84">
        <f t="shared" si="17"/>
        <v>3550.3090083796769</v>
      </c>
      <c r="V48" s="84">
        <f t="shared" si="17"/>
        <v>3650.1969681803821</v>
      </c>
    </row>
    <row r="49" spans="1:12" ht="12.75" customHeight="1">
      <c r="A49" s="78" t="s">
        <v>93</v>
      </c>
      <c r="B49" s="98">
        <f>IRR(B46:V46)</f>
        <v>0.15843467021360502</v>
      </c>
      <c r="C49" s="83"/>
      <c r="D49" s="83"/>
      <c r="E49" s="83"/>
      <c r="F49" s="83"/>
      <c r="G49" s="83"/>
      <c r="H49" s="83"/>
      <c r="I49" s="83"/>
      <c r="J49" s="83"/>
      <c r="K49" s="83"/>
      <c r="L49" s="84"/>
    </row>
    <row r="50" spans="1:12" ht="12.75" customHeight="1">
      <c r="A50" s="99" t="s">
        <v>94</v>
      </c>
      <c r="B50" s="100">
        <f t="shared" ref="B50:B51" si="18">L47</f>
        <v>2549.0072727059942</v>
      </c>
      <c r="C50" s="83"/>
      <c r="D50" s="83"/>
      <c r="E50" s="83"/>
      <c r="F50" s="83"/>
      <c r="G50" s="83"/>
      <c r="H50" s="83"/>
      <c r="I50" s="83"/>
      <c r="J50" s="83"/>
      <c r="K50" s="83"/>
      <c r="L50" s="84"/>
    </row>
    <row r="51" spans="1:12" ht="22.5" customHeight="1">
      <c r="A51" s="101" t="s">
        <v>95</v>
      </c>
      <c r="B51" s="102">
        <f t="shared" si="18"/>
        <v>1564.8693480859945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4"/>
    </row>
    <row r="52" spans="1:12" ht="12.75" customHeight="1"/>
    <row r="53" spans="1:12" ht="12.75" customHeight="1">
      <c r="A53" s="105" t="s">
        <v>156</v>
      </c>
    </row>
    <row r="54" spans="1:12" ht="12.75" customHeight="1">
      <c r="A54" s="213" t="s">
        <v>157</v>
      </c>
    </row>
    <row r="55" spans="1:12" ht="12.75" customHeight="1"/>
    <row r="56" spans="1:12" ht="12.75" customHeight="1"/>
    <row r="57" spans="1:12" ht="12.75" customHeight="1"/>
    <row r="58" spans="1:12" ht="12.75" customHeight="1"/>
    <row r="59" spans="1:12" ht="12.75" customHeight="1"/>
    <row r="60" spans="1:12" ht="12.75" customHeight="1"/>
    <row r="61" spans="1:12" ht="12.75" customHeight="1"/>
    <row r="62" spans="1:12" ht="12.75" customHeight="1"/>
    <row r="63" spans="1:12" ht="12.75" customHeight="1"/>
    <row r="64" spans="1:12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3"/>
  <sheetViews>
    <sheetView showGridLines="0" workbookViewId="0">
      <selection activeCell="C1" sqref="C1"/>
    </sheetView>
  </sheetViews>
  <sheetFormatPr defaultColWidth="14.44140625" defaultRowHeight="15" customHeight="1"/>
  <cols>
    <col min="1" max="1" width="4.33203125" customWidth="1"/>
    <col min="2" max="2" width="30.33203125" customWidth="1"/>
    <col min="3" max="3" width="5.109375" customWidth="1"/>
    <col min="4" max="4" width="6.88671875" customWidth="1"/>
    <col min="5" max="5" width="9.44140625" customWidth="1"/>
    <col min="6" max="6" width="10" customWidth="1"/>
    <col min="7" max="7" width="8.88671875" customWidth="1"/>
    <col min="8" max="16" width="2.44140625" customWidth="1"/>
    <col min="17" max="19" width="2.5546875" customWidth="1"/>
    <col min="20" max="28" width="2.44140625" customWidth="1"/>
    <col min="29" max="31" width="2.5546875" customWidth="1"/>
    <col min="32" max="34" width="8.88671875" customWidth="1"/>
    <col min="35" max="35" width="9.109375" customWidth="1"/>
  </cols>
  <sheetData>
    <row r="1" spans="1:35" ht="12.75" customHeight="1"/>
    <row r="2" spans="1:35" ht="20.25" customHeight="1">
      <c r="B2" s="45" t="s">
        <v>96</v>
      </c>
    </row>
    <row r="3" spans="1:35" ht="15" customHeight="1">
      <c r="A3" s="106"/>
    </row>
    <row r="4" spans="1:35" ht="22.5" customHeight="1">
      <c r="A4" s="235" t="s">
        <v>97</v>
      </c>
      <c r="B4" s="236" t="s">
        <v>98</v>
      </c>
      <c r="C4" s="235" t="s">
        <v>99</v>
      </c>
      <c r="D4" s="235" t="s">
        <v>100</v>
      </c>
      <c r="E4" s="235" t="s">
        <v>101</v>
      </c>
      <c r="F4" s="107" t="s">
        <v>102</v>
      </c>
      <c r="G4" s="107" t="s">
        <v>102</v>
      </c>
      <c r="H4" s="234" t="s">
        <v>103</v>
      </c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4" t="s">
        <v>104</v>
      </c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23"/>
      <c r="AF4" s="109"/>
      <c r="AG4" s="109"/>
      <c r="AH4" s="109"/>
      <c r="AI4" s="109"/>
    </row>
    <row r="5" spans="1:35" ht="11.25" customHeight="1">
      <c r="A5" s="226"/>
      <c r="B5" s="237"/>
      <c r="C5" s="226"/>
      <c r="D5" s="226"/>
      <c r="E5" s="226"/>
      <c r="F5" s="107" t="s">
        <v>105</v>
      </c>
      <c r="G5" s="108" t="s">
        <v>106</v>
      </c>
      <c r="H5" s="107">
        <v>1</v>
      </c>
      <c r="I5" s="107">
        <v>2</v>
      </c>
      <c r="J5" s="107">
        <v>3</v>
      </c>
      <c r="K5" s="107">
        <v>4</v>
      </c>
      <c r="L5" s="107">
        <v>5</v>
      </c>
      <c r="M5" s="107">
        <v>6</v>
      </c>
      <c r="N5" s="107">
        <v>7</v>
      </c>
      <c r="O5" s="107">
        <v>8</v>
      </c>
      <c r="P5" s="107">
        <v>9</v>
      </c>
      <c r="Q5" s="110">
        <v>10</v>
      </c>
      <c r="R5" s="107">
        <v>11</v>
      </c>
      <c r="S5" s="107">
        <v>12</v>
      </c>
      <c r="T5" s="107">
        <v>1</v>
      </c>
      <c r="U5" s="107">
        <v>2</v>
      </c>
      <c r="V5" s="107">
        <v>3</v>
      </c>
      <c r="W5" s="107">
        <v>4</v>
      </c>
      <c r="X5" s="107">
        <v>5</v>
      </c>
      <c r="Y5" s="107">
        <v>6</v>
      </c>
      <c r="Z5" s="107">
        <v>7</v>
      </c>
      <c r="AA5" s="107">
        <v>8</v>
      </c>
      <c r="AB5" s="107">
        <v>9</v>
      </c>
      <c r="AC5" s="107">
        <v>10</v>
      </c>
      <c r="AD5" s="107">
        <v>11</v>
      </c>
      <c r="AE5" s="107">
        <v>12</v>
      </c>
      <c r="AF5" s="109"/>
      <c r="AG5" s="109"/>
      <c r="AH5" s="109"/>
      <c r="AI5" s="109"/>
    </row>
    <row r="6" spans="1:35" ht="12.75" customHeight="1">
      <c r="A6" s="111" t="s">
        <v>107</v>
      </c>
      <c r="B6" s="112" t="s">
        <v>108</v>
      </c>
      <c r="C6" s="113">
        <f>4*30</f>
        <v>120</v>
      </c>
      <c r="D6" s="113"/>
      <c r="E6" s="114"/>
      <c r="F6" s="115">
        <f>F7+F8+F9</f>
        <v>80000</v>
      </c>
      <c r="G6" s="116"/>
      <c r="H6" s="117"/>
      <c r="I6" s="117"/>
      <c r="J6" s="117"/>
      <c r="K6" s="117"/>
      <c r="L6" s="118"/>
      <c r="M6" s="118"/>
      <c r="N6" s="118"/>
      <c r="O6" s="119"/>
      <c r="P6" s="119"/>
      <c r="Q6" s="120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</row>
    <row r="7" spans="1:35" ht="33.75" customHeight="1">
      <c r="A7" s="121" t="s">
        <v>109</v>
      </c>
      <c r="B7" s="122" t="s">
        <v>110</v>
      </c>
      <c r="C7" s="123"/>
      <c r="D7" s="123"/>
      <c r="E7" s="124"/>
      <c r="F7" s="125">
        <f>'Cost price'!B23</f>
        <v>40000</v>
      </c>
      <c r="G7" s="126"/>
      <c r="H7" s="127"/>
      <c r="I7" s="128"/>
      <c r="J7" s="128"/>
      <c r="K7" s="128"/>
      <c r="L7" s="129"/>
      <c r="M7" s="129"/>
      <c r="N7" s="129"/>
      <c r="O7" s="130"/>
      <c r="P7" s="130"/>
      <c r="Q7" s="120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8" spans="1:35" ht="22.5" customHeight="1">
      <c r="A8" s="121" t="s">
        <v>111</v>
      </c>
      <c r="B8" s="122" t="s">
        <v>112</v>
      </c>
      <c r="C8" s="123"/>
      <c r="D8" s="123"/>
      <c r="E8" s="124"/>
      <c r="F8" s="125">
        <f>'Cost price'!B24*(1-0.9)</f>
        <v>3999.9999999999991</v>
      </c>
      <c r="G8" s="126"/>
      <c r="H8" s="127"/>
      <c r="I8" s="128"/>
      <c r="J8" s="128"/>
      <c r="K8" s="128"/>
      <c r="L8" s="129"/>
      <c r="M8" s="129"/>
      <c r="N8" s="129"/>
      <c r="O8" s="130"/>
      <c r="P8" s="130"/>
      <c r="Q8" s="120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</row>
    <row r="9" spans="1:35" ht="22.5" customHeight="1">
      <c r="A9" s="131" t="s">
        <v>111</v>
      </c>
      <c r="B9" s="132" t="s">
        <v>113</v>
      </c>
      <c r="C9" s="133"/>
      <c r="D9" s="133"/>
      <c r="E9" s="134"/>
      <c r="F9" s="135">
        <f>'Cost price'!B24-Stages!F8</f>
        <v>36000</v>
      </c>
      <c r="G9" s="136"/>
      <c r="H9" s="137"/>
      <c r="I9" s="138"/>
      <c r="J9" s="138"/>
      <c r="K9" s="138"/>
      <c r="L9" s="137"/>
      <c r="M9" s="137"/>
      <c r="N9" s="137"/>
      <c r="O9" s="139"/>
      <c r="P9" s="139"/>
      <c r="Q9" s="140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47"/>
      <c r="AG9" s="142"/>
      <c r="AH9" s="142"/>
      <c r="AI9" s="142"/>
    </row>
    <row r="10" spans="1:35" ht="12.75" customHeight="1">
      <c r="A10" s="111" t="s">
        <v>114</v>
      </c>
      <c r="B10" s="112" t="s">
        <v>115</v>
      </c>
      <c r="C10" s="111">
        <f>5*30</f>
        <v>150</v>
      </c>
      <c r="D10" s="111"/>
      <c r="E10" s="143"/>
      <c r="F10" s="144">
        <f>'Cost price'!B28</f>
        <v>2200000</v>
      </c>
      <c r="G10" s="145"/>
      <c r="H10" s="145"/>
      <c r="I10" s="145"/>
      <c r="J10" s="145"/>
      <c r="K10" s="146"/>
      <c r="L10" s="146"/>
      <c r="M10" s="146"/>
      <c r="N10" s="146"/>
      <c r="O10" s="147"/>
      <c r="P10" s="119"/>
      <c r="Q10" s="120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47"/>
    </row>
    <row r="11" spans="1:35" ht="12.75" customHeight="1">
      <c r="A11" s="148" t="s">
        <v>116</v>
      </c>
      <c r="B11" s="122" t="s">
        <v>117</v>
      </c>
      <c r="C11" s="123"/>
      <c r="D11" s="123"/>
      <c r="E11" s="124"/>
      <c r="F11" s="123"/>
      <c r="G11" s="126"/>
      <c r="H11" s="128"/>
      <c r="I11" s="118"/>
      <c r="J11" s="128"/>
      <c r="K11" s="149"/>
      <c r="M11" s="129"/>
      <c r="N11" s="129"/>
      <c r="O11" s="130"/>
      <c r="P11" s="130"/>
      <c r="Q11" s="120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47"/>
    </row>
    <row r="12" spans="1:35" ht="12.75" customHeight="1">
      <c r="A12" s="150" t="s">
        <v>118</v>
      </c>
      <c r="B12" s="151" t="s">
        <v>119</v>
      </c>
      <c r="C12" s="152"/>
      <c r="D12" s="152"/>
      <c r="E12" s="153"/>
      <c r="F12" s="154"/>
      <c r="G12" s="155"/>
      <c r="H12" s="129"/>
      <c r="I12" s="129"/>
      <c r="J12" s="129"/>
      <c r="K12" s="129"/>
      <c r="L12" s="156"/>
      <c r="M12" s="47"/>
      <c r="N12" s="128"/>
      <c r="O12" s="130"/>
      <c r="P12" s="130"/>
      <c r="Q12" s="120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47"/>
      <c r="AG12" s="47"/>
      <c r="AH12" s="47"/>
      <c r="AI12" s="47"/>
    </row>
    <row r="13" spans="1:35" ht="12.75" customHeight="1">
      <c r="A13" s="150" t="s">
        <v>120</v>
      </c>
      <c r="B13" s="151" t="s">
        <v>52</v>
      </c>
      <c r="C13" s="152"/>
      <c r="D13" s="152"/>
      <c r="E13" s="153"/>
      <c r="F13" s="154"/>
      <c r="G13" s="155"/>
      <c r="H13" s="129"/>
      <c r="I13" s="129"/>
      <c r="J13" s="129"/>
      <c r="K13" s="129"/>
      <c r="L13" s="129"/>
      <c r="M13" s="157"/>
      <c r="N13" s="157"/>
      <c r="O13" s="158"/>
      <c r="P13" s="129"/>
      <c r="Q13" s="120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47"/>
      <c r="AG13" s="47"/>
      <c r="AH13" s="47"/>
      <c r="AI13" s="47"/>
    </row>
    <row r="14" spans="1:35" ht="12.75" customHeight="1">
      <c r="A14" s="150" t="s">
        <v>121</v>
      </c>
      <c r="B14" s="151" t="s">
        <v>122</v>
      </c>
      <c r="C14" s="152"/>
      <c r="D14" s="152"/>
      <c r="E14" s="153"/>
      <c r="F14" s="154"/>
      <c r="G14" s="155"/>
      <c r="H14" s="129"/>
      <c r="I14" s="129"/>
      <c r="J14" s="129"/>
      <c r="K14" s="129"/>
      <c r="L14" s="129"/>
      <c r="M14" s="129"/>
      <c r="N14" s="128"/>
      <c r="O14" s="159"/>
      <c r="P14" s="118"/>
      <c r="Q14" s="120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47"/>
      <c r="AG14" s="47"/>
      <c r="AH14" s="47"/>
      <c r="AI14" s="47"/>
    </row>
    <row r="15" spans="1:35" ht="22.5" customHeight="1">
      <c r="A15" s="150" t="s">
        <v>123</v>
      </c>
      <c r="B15" s="151" t="s">
        <v>124</v>
      </c>
      <c r="C15" s="160"/>
      <c r="D15" s="160"/>
      <c r="E15" s="161"/>
      <c r="F15" s="162"/>
      <c r="G15" s="163"/>
      <c r="H15" s="163"/>
      <c r="I15" s="163"/>
      <c r="J15" s="163"/>
      <c r="K15" s="163"/>
      <c r="M15" s="164"/>
      <c r="N15" s="164"/>
      <c r="O15" s="165"/>
      <c r="P15" s="165"/>
      <c r="Q15" s="140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</row>
    <row r="16" spans="1:35" ht="12.75" customHeight="1">
      <c r="A16" s="113" t="s">
        <v>125</v>
      </c>
      <c r="B16" s="166" t="s">
        <v>126</v>
      </c>
      <c r="C16" s="113">
        <f>3*30</f>
        <v>90</v>
      </c>
      <c r="D16" s="113"/>
      <c r="E16" s="114"/>
      <c r="F16" s="115">
        <f>F17+F18</f>
        <v>2710766</v>
      </c>
      <c r="G16" s="116"/>
      <c r="H16" s="167"/>
      <c r="I16" s="167"/>
      <c r="J16" s="168"/>
      <c r="K16" s="168"/>
      <c r="L16" s="116"/>
      <c r="M16" s="116"/>
      <c r="N16" s="116"/>
      <c r="O16" s="169"/>
      <c r="P16" s="168"/>
      <c r="Q16" s="170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47"/>
      <c r="AG16" s="47"/>
      <c r="AH16" s="47"/>
      <c r="AI16" s="47"/>
    </row>
    <row r="17" spans="1:35" ht="12.75" customHeight="1">
      <c r="A17" s="150" t="s">
        <v>127</v>
      </c>
      <c r="B17" s="151" t="s">
        <v>126</v>
      </c>
      <c r="C17" s="152"/>
      <c r="D17" s="152"/>
      <c r="E17" s="153"/>
      <c r="F17" s="171">
        <f>'Cost price'!B26+'Cost price'!B27</f>
        <v>2605383</v>
      </c>
      <c r="G17" s="155"/>
      <c r="H17" s="129"/>
      <c r="I17" s="129"/>
      <c r="J17" s="172"/>
      <c r="K17" s="172"/>
      <c r="L17" s="129"/>
      <c r="M17" s="129"/>
      <c r="N17" s="129"/>
      <c r="O17" s="47"/>
      <c r="P17" s="129"/>
      <c r="Q17" s="120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47"/>
      <c r="AG17" s="47"/>
      <c r="AH17" s="47"/>
      <c r="AI17" s="47"/>
    </row>
    <row r="18" spans="1:35" ht="12.75" customHeight="1">
      <c r="A18" s="148" t="s">
        <v>128</v>
      </c>
      <c r="B18" s="122" t="s">
        <v>129</v>
      </c>
      <c r="C18" s="123"/>
      <c r="D18" s="123"/>
      <c r="E18" s="124"/>
      <c r="F18" s="173">
        <f>'Cost price'!B27</f>
        <v>105383</v>
      </c>
      <c r="G18" s="126"/>
      <c r="H18" s="128"/>
      <c r="I18" s="118"/>
      <c r="J18" s="128"/>
      <c r="K18" s="129"/>
      <c r="M18" s="129"/>
      <c r="N18" s="129"/>
      <c r="O18" s="130"/>
      <c r="P18" s="174"/>
      <c r="Q18" s="175"/>
      <c r="R18" s="141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47"/>
    </row>
    <row r="19" spans="1:35" ht="12.75" customHeight="1">
      <c r="A19" s="176" t="s">
        <v>130</v>
      </c>
      <c r="B19" s="177" t="s">
        <v>131</v>
      </c>
      <c r="C19" s="176">
        <f>1*30</f>
        <v>30</v>
      </c>
      <c r="D19" s="176"/>
      <c r="E19" s="178"/>
      <c r="F19" s="179"/>
      <c r="G19" s="180"/>
      <c r="H19" s="180"/>
      <c r="I19" s="180"/>
      <c r="J19" s="180"/>
      <c r="K19" s="180"/>
      <c r="L19" s="180"/>
      <c r="M19" s="181"/>
      <c r="N19" s="181"/>
      <c r="O19" s="182"/>
      <c r="P19" s="180"/>
      <c r="Q19" s="183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I19" s="23"/>
    </row>
    <row r="20" spans="1:35" ht="12.75" customHeight="1">
      <c r="A20" s="160" t="s">
        <v>132</v>
      </c>
      <c r="B20" s="184" t="s">
        <v>133</v>
      </c>
      <c r="C20" s="160"/>
      <c r="D20" s="160"/>
      <c r="E20" s="161"/>
      <c r="F20" s="185"/>
      <c r="G20" s="186"/>
      <c r="H20" s="187"/>
      <c r="I20" s="187"/>
      <c r="J20" s="187"/>
      <c r="K20" s="187"/>
      <c r="L20" s="187"/>
      <c r="M20" s="187"/>
      <c r="N20" s="187"/>
      <c r="O20" s="188"/>
      <c r="P20" s="188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9"/>
      <c r="AD20" s="190"/>
      <c r="AE20" s="190"/>
    </row>
    <row r="21" spans="1:35" ht="12.75" customHeight="1">
      <c r="C21" s="191"/>
      <c r="D21" s="191"/>
      <c r="E21" s="191"/>
      <c r="F21" s="192"/>
      <c r="G21" s="193"/>
      <c r="H21" s="193"/>
      <c r="I21" s="193"/>
      <c r="J21" s="193"/>
      <c r="K21" s="193"/>
      <c r="L21" s="193"/>
      <c r="M21" s="193"/>
      <c r="N21" s="194"/>
      <c r="O21" s="195"/>
      <c r="P21" s="196"/>
    </row>
    <row r="22" spans="1:35" ht="20.25" customHeight="1">
      <c r="A22" s="197"/>
      <c r="B22" s="45" t="s">
        <v>134</v>
      </c>
      <c r="C22" s="197"/>
      <c r="D22" s="197"/>
      <c r="E22" s="197"/>
      <c r="F22" s="198"/>
      <c r="G22" s="193"/>
      <c r="H22" s="193"/>
      <c r="I22" s="193"/>
      <c r="J22" s="193"/>
      <c r="K22" s="193"/>
      <c r="L22" s="193"/>
      <c r="M22" s="193"/>
      <c r="N22" s="193"/>
      <c r="O22" s="199"/>
      <c r="P22" s="199"/>
      <c r="Q22" s="47"/>
      <c r="R22" s="47"/>
      <c r="S22" s="47"/>
      <c r="T22" s="47"/>
      <c r="U22" s="47"/>
      <c r="V22" s="47"/>
      <c r="W22" s="47"/>
    </row>
    <row r="23" spans="1:35" ht="12.75" customHeight="1">
      <c r="C23" s="191"/>
      <c r="D23" s="191"/>
      <c r="E23" s="191"/>
      <c r="F23" s="192"/>
      <c r="G23" s="193"/>
      <c r="H23" s="107">
        <v>1</v>
      </c>
      <c r="I23" s="107">
        <v>2</v>
      </c>
      <c r="J23" s="107">
        <v>3</v>
      </c>
      <c r="K23" s="107">
        <v>4</v>
      </c>
      <c r="L23" s="107">
        <v>5</v>
      </c>
      <c r="M23" s="107">
        <v>6</v>
      </c>
      <c r="N23" s="107">
        <v>7</v>
      </c>
      <c r="O23" s="107">
        <v>8</v>
      </c>
      <c r="P23" s="107">
        <v>9</v>
      </c>
      <c r="Q23" s="110">
        <v>10</v>
      </c>
      <c r="R23" s="107">
        <v>11</v>
      </c>
      <c r="S23" s="107">
        <v>12</v>
      </c>
      <c r="T23" s="107">
        <v>1</v>
      </c>
      <c r="U23" s="107">
        <v>2</v>
      </c>
      <c r="V23" s="107">
        <v>3</v>
      </c>
      <c r="W23" s="107">
        <v>4</v>
      </c>
      <c r="X23" s="107">
        <v>5</v>
      </c>
      <c r="Y23" s="107">
        <v>6</v>
      </c>
      <c r="Z23" s="107">
        <v>7</v>
      </c>
      <c r="AA23" s="107">
        <v>8</v>
      </c>
      <c r="AB23" s="107">
        <v>9</v>
      </c>
      <c r="AC23" s="107">
        <v>10</v>
      </c>
      <c r="AD23" s="107">
        <v>11</v>
      </c>
      <c r="AE23" s="107">
        <v>12</v>
      </c>
    </row>
    <row r="24" spans="1:35" ht="12.75" customHeight="1">
      <c r="A24" s="176" t="s">
        <v>107</v>
      </c>
      <c r="B24" s="177" t="str">
        <f>'Cost price'!A35</f>
        <v>Вода</v>
      </c>
      <c r="C24" s="176"/>
      <c r="D24" s="176"/>
      <c r="E24" s="178"/>
      <c r="F24" s="179"/>
      <c r="G24" s="180"/>
      <c r="H24" s="200">
        <v>0</v>
      </c>
      <c r="I24" s="200">
        <v>0</v>
      </c>
      <c r="J24" s="200">
        <v>0</v>
      </c>
      <c r="K24" s="200">
        <v>0</v>
      </c>
      <c r="L24" s="200">
        <v>0</v>
      </c>
      <c r="M24" s="200">
        <v>0</v>
      </c>
      <c r="N24" s="200">
        <v>0</v>
      </c>
      <c r="O24" s="200">
        <v>0</v>
      </c>
      <c r="P24" s="200">
        <v>0</v>
      </c>
      <c r="Q24" s="200">
        <v>1</v>
      </c>
      <c r="R24" s="201">
        <v>1</v>
      </c>
      <c r="S24" s="201">
        <v>1</v>
      </c>
      <c r="T24" s="201">
        <v>1</v>
      </c>
      <c r="U24" s="201">
        <v>1</v>
      </c>
      <c r="V24" s="201">
        <v>1</v>
      </c>
      <c r="W24" s="201">
        <v>1</v>
      </c>
      <c r="X24" s="201">
        <v>1</v>
      </c>
      <c r="Y24" s="201">
        <v>1</v>
      </c>
      <c r="Z24" s="201">
        <v>1</v>
      </c>
      <c r="AA24" s="201">
        <v>1</v>
      </c>
      <c r="AB24" s="201">
        <v>1</v>
      </c>
      <c r="AC24" s="201">
        <v>1</v>
      </c>
      <c r="AD24" s="201">
        <v>1</v>
      </c>
      <c r="AE24" s="201">
        <v>1</v>
      </c>
    </row>
    <row r="25" spans="1:35" ht="12.75" customHeight="1">
      <c r="A25" s="160" t="s">
        <v>114</v>
      </c>
      <c r="B25" s="177" t="str">
        <f>'Cost price'!A36</f>
        <v>Корм (feed ratio 1.0)</v>
      </c>
      <c r="C25" s="160"/>
      <c r="D25" s="160"/>
      <c r="E25" s="161"/>
      <c r="F25" s="162"/>
      <c r="G25" s="163"/>
      <c r="H25" s="201">
        <v>0</v>
      </c>
      <c r="I25" s="201">
        <v>0</v>
      </c>
      <c r="J25" s="201">
        <v>0</v>
      </c>
      <c r="K25" s="201">
        <v>0</v>
      </c>
      <c r="L25" s="201">
        <v>0</v>
      </c>
      <c r="M25" s="201">
        <v>0</v>
      </c>
      <c r="N25" s="201">
        <v>0</v>
      </c>
      <c r="O25" s="201">
        <v>0</v>
      </c>
      <c r="P25" s="201">
        <v>0</v>
      </c>
      <c r="Q25" s="201">
        <v>1</v>
      </c>
      <c r="R25" s="201">
        <v>0</v>
      </c>
      <c r="S25" s="201">
        <v>0</v>
      </c>
      <c r="T25" s="201">
        <v>1</v>
      </c>
      <c r="U25" s="201">
        <v>0</v>
      </c>
      <c r="V25" s="201">
        <v>0</v>
      </c>
      <c r="W25" s="201">
        <v>1</v>
      </c>
      <c r="X25" s="201">
        <v>0</v>
      </c>
      <c r="Y25" s="201">
        <v>0</v>
      </c>
      <c r="Z25" s="201">
        <v>1</v>
      </c>
      <c r="AA25" s="201">
        <v>0</v>
      </c>
      <c r="AB25" s="201">
        <v>0</v>
      </c>
      <c r="AC25" s="201">
        <v>1</v>
      </c>
      <c r="AD25" s="201">
        <v>0</v>
      </c>
      <c r="AE25" s="201">
        <v>0</v>
      </c>
    </row>
    <row r="26" spans="1:35" ht="12.75" customHeight="1">
      <c r="A26" s="160" t="s">
        <v>125</v>
      </c>
      <c r="B26" s="177" t="str">
        <f>'Cost price'!A37</f>
        <v>Мальки</v>
      </c>
      <c r="C26" s="160"/>
      <c r="D26" s="160"/>
      <c r="E26" s="161"/>
      <c r="F26" s="162"/>
      <c r="G26" s="163"/>
      <c r="H26" s="201">
        <v>0</v>
      </c>
      <c r="I26" s="201">
        <v>0</v>
      </c>
      <c r="J26" s="201">
        <v>0</v>
      </c>
      <c r="K26" s="201">
        <v>0</v>
      </c>
      <c r="L26" s="201">
        <v>0</v>
      </c>
      <c r="M26" s="201">
        <v>0</v>
      </c>
      <c r="N26" s="201">
        <v>0</v>
      </c>
      <c r="O26" s="201">
        <v>0</v>
      </c>
      <c r="P26" s="201">
        <v>0</v>
      </c>
      <c r="Q26" s="201">
        <v>1</v>
      </c>
      <c r="R26" s="201">
        <v>0</v>
      </c>
      <c r="S26" s="201">
        <v>0</v>
      </c>
      <c r="T26" s="201">
        <v>0</v>
      </c>
      <c r="U26" s="201">
        <v>0</v>
      </c>
      <c r="V26" s="201">
        <v>0</v>
      </c>
      <c r="W26" s="201">
        <v>0</v>
      </c>
      <c r="X26" s="201">
        <v>0</v>
      </c>
      <c r="Y26" s="201">
        <v>0</v>
      </c>
      <c r="Z26" s="201">
        <v>0</v>
      </c>
      <c r="AA26" s="201">
        <v>0</v>
      </c>
      <c r="AB26" s="201">
        <v>0</v>
      </c>
      <c r="AC26" s="201">
        <v>1</v>
      </c>
      <c r="AD26" s="201">
        <v>0</v>
      </c>
      <c r="AE26" s="201">
        <v>0</v>
      </c>
    </row>
    <row r="27" spans="1:35" ht="12.75" customHeight="1">
      <c r="A27" s="219" t="s">
        <v>159</v>
      </c>
      <c r="B27" s="177" t="str">
        <f>'Cost price'!A38</f>
        <v>Электричество</v>
      </c>
      <c r="C27" s="160"/>
      <c r="D27" s="160"/>
      <c r="E27" s="161"/>
      <c r="F27" s="162"/>
      <c r="G27" s="163"/>
      <c r="H27" s="201">
        <v>0</v>
      </c>
      <c r="I27" s="201">
        <v>0</v>
      </c>
      <c r="J27" s="201">
        <v>0</v>
      </c>
      <c r="K27" s="201">
        <v>0</v>
      </c>
      <c r="L27" s="201">
        <v>0</v>
      </c>
      <c r="M27" s="201">
        <v>0</v>
      </c>
      <c r="N27" s="201">
        <v>0</v>
      </c>
      <c r="O27" s="201">
        <v>0</v>
      </c>
      <c r="P27" s="201">
        <v>0</v>
      </c>
      <c r="Q27" s="200">
        <v>1</v>
      </c>
      <c r="R27" s="201">
        <v>1</v>
      </c>
      <c r="S27" s="201">
        <v>1</v>
      </c>
      <c r="T27" s="201">
        <v>1</v>
      </c>
      <c r="U27" s="201">
        <v>1</v>
      </c>
      <c r="V27" s="201">
        <v>1</v>
      </c>
      <c r="W27" s="201">
        <v>1</v>
      </c>
      <c r="X27" s="201">
        <v>1</v>
      </c>
      <c r="Y27" s="201">
        <v>1</v>
      </c>
      <c r="Z27" s="201">
        <v>1</v>
      </c>
      <c r="AA27" s="201">
        <v>1</v>
      </c>
      <c r="AB27" s="201">
        <v>1</v>
      </c>
      <c r="AC27" s="201">
        <v>1</v>
      </c>
      <c r="AD27" s="201">
        <v>1</v>
      </c>
      <c r="AE27" s="201">
        <v>1</v>
      </c>
    </row>
    <row r="28" spans="1:35" ht="12.75" customHeight="1">
      <c r="A28" s="176" t="s">
        <v>130</v>
      </c>
      <c r="B28" s="218" t="s">
        <v>158</v>
      </c>
      <c r="C28" s="215"/>
      <c r="D28" s="215"/>
      <c r="E28" s="161"/>
      <c r="F28" s="216"/>
      <c r="G28" s="217"/>
      <c r="H28" s="201">
        <v>0</v>
      </c>
      <c r="I28" s="201">
        <v>0</v>
      </c>
      <c r="J28" s="201">
        <v>0</v>
      </c>
      <c r="K28" s="201">
        <v>0</v>
      </c>
      <c r="L28" s="201">
        <v>0</v>
      </c>
      <c r="M28" s="201">
        <v>0</v>
      </c>
      <c r="N28" s="201">
        <v>0</v>
      </c>
      <c r="O28" s="201">
        <v>0</v>
      </c>
      <c r="P28" s="201">
        <v>0</v>
      </c>
      <c r="Q28" s="200">
        <v>1</v>
      </c>
      <c r="R28" s="201">
        <v>1</v>
      </c>
      <c r="S28" s="201">
        <v>1</v>
      </c>
      <c r="T28" s="201">
        <v>1</v>
      </c>
      <c r="U28" s="201">
        <v>1</v>
      </c>
      <c r="V28" s="201">
        <v>1</v>
      </c>
      <c r="W28" s="201">
        <v>1</v>
      </c>
      <c r="X28" s="201">
        <v>1</v>
      </c>
      <c r="Y28" s="201">
        <v>1</v>
      </c>
      <c r="Z28" s="201">
        <v>1</v>
      </c>
      <c r="AA28" s="201">
        <v>1</v>
      </c>
      <c r="AB28" s="201">
        <v>1</v>
      </c>
      <c r="AC28" s="201">
        <v>1</v>
      </c>
      <c r="AD28" s="201">
        <v>1</v>
      </c>
      <c r="AE28" s="201">
        <v>1</v>
      </c>
    </row>
    <row r="29" spans="1:35" ht="12.75" customHeight="1">
      <c r="A29" s="176" t="s">
        <v>132</v>
      </c>
      <c r="B29" s="218" t="s">
        <v>153</v>
      </c>
      <c r="C29" s="215"/>
      <c r="D29" s="215"/>
      <c r="E29" s="161"/>
      <c r="F29" s="216"/>
      <c r="G29" s="217"/>
      <c r="H29" s="201">
        <v>0</v>
      </c>
      <c r="I29" s="201">
        <v>0</v>
      </c>
      <c r="J29" s="201">
        <v>0</v>
      </c>
      <c r="K29" s="201">
        <v>0</v>
      </c>
      <c r="L29" s="201">
        <v>0</v>
      </c>
      <c r="M29" s="201">
        <v>0</v>
      </c>
      <c r="N29" s="201">
        <v>0</v>
      </c>
      <c r="O29" s="201">
        <v>0</v>
      </c>
      <c r="P29" s="201">
        <v>0</v>
      </c>
      <c r="Q29" s="200">
        <v>1</v>
      </c>
      <c r="R29" s="201">
        <v>1</v>
      </c>
      <c r="S29" s="201">
        <v>1</v>
      </c>
      <c r="T29" s="201">
        <v>1</v>
      </c>
      <c r="U29" s="201">
        <v>1</v>
      </c>
      <c r="V29" s="201">
        <v>1</v>
      </c>
      <c r="W29" s="201">
        <v>1</v>
      </c>
      <c r="X29" s="201">
        <v>1</v>
      </c>
      <c r="Y29" s="201">
        <v>1</v>
      </c>
      <c r="Z29" s="201">
        <v>1</v>
      </c>
      <c r="AA29" s="201">
        <v>1</v>
      </c>
      <c r="AB29" s="201">
        <v>1</v>
      </c>
      <c r="AC29" s="201">
        <v>1</v>
      </c>
      <c r="AD29" s="201">
        <v>1</v>
      </c>
      <c r="AE29" s="201">
        <v>1</v>
      </c>
    </row>
    <row r="30" spans="1:35" ht="12.75" customHeight="1">
      <c r="A30" s="176" t="s">
        <v>135</v>
      </c>
      <c r="B30" s="218" t="s">
        <v>154</v>
      </c>
      <c r="C30" s="215"/>
      <c r="D30" s="215"/>
      <c r="E30" s="161"/>
      <c r="F30" s="216"/>
      <c r="G30" s="217"/>
      <c r="H30" s="201">
        <v>0</v>
      </c>
      <c r="I30" s="201">
        <v>0</v>
      </c>
      <c r="J30" s="201">
        <v>0</v>
      </c>
      <c r="K30" s="201">
        <v>0</v>
      </c>
      <c r="L30" s="201">
        <v>0</v>
      </c>
      <c r="M30" s="201">
        <v>0</v>
      </c>
      <c r="N30" s="201">
        <v>0</v>
      </c>
      <c r="O30" s="201">
        <v>0</v>
      </c>
      <c r="P30" s="201">
        <v>0</v>
      </c>
      <c r="Q30" s="200">
        <v>1</v>
      </c>
      <c r="R30" s="201">
        <v>1</v>
      </c>
      <c r="S30" s="201">
        <v>1</v>
      </c>
      <c r="T30" s="201">
        <v>1</v>
      </c>
      <c r="U30" s="201">
        <v>1</v>
      </c>
      <c r="V30" s="201">
        <v>1</v>
      </c>
      <c r="W30" s="201">
        <v>1</v>
      </c>
      <c r="X30" s="201">
        <v>1</v>
      </c>
      <c r="Y30" s="201">
        <v>1</v>
      </c>
      <c r="Z30" s="201">
        <v>1</v>
      </c>
      <c r="AA30" s="201">
        <v>1</v>
      </c>
      <c r="AB30" s="201">
        <v>1</v>
      </c>
      <c r="AC30" s="201">
        <v>1</v>
      </c>
      <c r="AD30" s="201">
        <v>1</v>
      </c>
      <c r="AE30" s="201">
        <v>1</v>
      </c>
    </row>
    <row r="31" spans="1:35" ht="12.75" customHeight="1">
      <c r="A31" s="219" t="s">
        <v>160</v>
      </c>
      <c r="B31" s="177" t="str">
        <f>'Cost price'!A42</f>
        <v>Зарплата</v>
      </c>
      <c r="C31" s="160"/>
      <c r="D31" s="160"/>
      <c r="E31" s="161"/>
      <c r="F31" s="162"/>
      <c r="G31" s="163"/>
      <c r="H31" s="201">
        <v>0</v>
      </c>
      <c r="I31" s="201">
        <v>0</v>
      </c>
      <c r="J31" s="201">
        <v>0</v>
      </c>
      <c r="K31" s="201">
        <v>0</v>
      </c>
      <c r="L31" s="201">
        <v>0</v>
      </c>
      <c r="M31" s="201">
        <v>0</v>
      </c>
      <c r="N31" s="201">
        <v>0</v>
      </c>
      <c r="O31" s="201">
        <v>0</v>
      </c>
      <c r="P31" s="201">
        <v>0</v>
      </c>
      <c r="Q31" s="200">
        <v>1</v>
      </c>
      <c r="R31" s="201">
        <v>1</v>
      </c>
      <c r="S31" s="201">
        <v>1</v>
      </c>
      <c r="T31" s="201">
        <v>1</v>
      </c>
      <c r="U31" s="201">
        <v>1</v>
      </c>
      <c r="V31" s="201">
        <v>1</v>
      </c>
      <c r="W31" s="201">
        <v>1</v>
      </c>
      <c r="X31" s="201">
        <v>1</v>
      </c>
      <c r="Y31" s="201">
        <v>1</v>
      </c>
      <c r="Z31" s="201">
        <v>1</v>
      </c>
      <c r="AA31" s="201">
        <v>1</v>
      </c>
      <c r="AB31" s="201">
        <v>1</v>
      </c>
      <c r="AC31" s="201">
        <v>1</v>
      </c>
      <c r="AD31" s="201">
        <v>1</v>
      </c>
      <c r="AE31" s="201">
        <v>1</v>
      </c>
    </row>
    <row r="32" spans="1:35" ht="12.75" customHeight="1">
      <c r="A32" s="219" t="s">
        <v>161</v>
      </c>
      <c r="B32" s="177" t="str">
        <f>'Cost price'!A43</f>
        <v>Обогрев (gas, efficiency = 95%)</v>
      </c>
      <c r="C32" s="160"/>
      <c r="D32" s="160"/>
      <c r="E32" s="161"/>
      <c r="F32" s="185"/>
      <c r="G32" s="186"/>
      <c r="H32" s="202">
        <v>0</v>
      </c>
      <c r="I32" s="202">
        <v>0</v>
      </c>
      <c r="J32" s="202">
        <v>0</v>
      </c>
      <c r="K32" s="202">
        <v>0</v>
      </c>
      <c r="L32" s="202">
        <v>0</v>
      </c>
      <c r="M32" s="202">
        <v>0</v>
      </c>
      <c r="N32" s="202">
        <v>0</v>
      </c>
      <c r="O32" s="202">
        <v>0</v>
      </c>
      <c r="P32" s="202">
        <v>0</v>
      </c>
      <c r="Q32" s="200">
        <v>1</v>
      </c>
      <c r="R32" s="201">
        <v>1</v>
      </c>
      <c r="S32" s="201">
        <v>1</v>
      </c>
      <c r="T32" s="201">
        <v>1</v>
      </c>
      <c r="U32" s="201">
        <v>1</v>
      </c>
      <c r="V32" s="201">
        <v>1</v>
      </c>
      <c r="W32" s="201">
        <v>1</v>
      </c>
      <c r="X32" s="201">
        <v>1</v>
      </c>
      <c r="Y32" s="201">
        <v>1</v>
      </c>
      <c r="Z32" s="201">
        <v>1</v>
      </c>
      <c r="AA32" s="201">
        <v>1</v>
      </c>
      <c r="AB32" s="201">
        <v>1</v>
      </c>
      <c r="AC32" s="201">
        <v>1</v>
      </c>
      <c r="AD32" s="201">
        <v>1</v>
      </c>
      <c r="AE32" s="201">
        <v>1</v>
      </c>
    </row>
    <row r="33" spans="1:23" ht="12.75" customHeight="1">
      <c r="A33" s="197"/>
      <c r="B33" s="203"/>
      <c r="C33" s="197"/>
      <c r="D33" s="197"/>
      <c r="E33" s="197"/>
      <c r="F33" s="198"/>
      <c r="G33" s="193"/>
      <c r="H33" s="193"/>
      <c r="I33" s="193"/>
      <c r="J33" s="193"/>
      <c r="K33" s="193"/>
      <c r="L33" s="193"/>
      <c r="M33" s="193"/>
      <c r="N33" s="193"/>
      <c r="O33" s="199"/>
      <c r="P33" s="199"/>
      <c r="Q33" s="47"/>
      <c r="R33" s="47"/>
      <c r="S33" s="47"/>
      <c r="T33" s="47"/>
      <c r="U33" s="47"/>
      <c r="V33" s="47"/>
      <c r="W33" s="47"/>
    </row>
    <row r="34" spans="1:23" ht="12.75" customHeight="1"/>
    <row r="35" spans="1:23" ht="12.75" customHeight="1">
      <c r="B35" s="204" t="s">
        <v>136</v>
      </c>
    </row>
    <row r="36" spans="1:23" ht="12.75" customHeight="1">
      <c r="B36" s="205" t="s">
        <v>137</v>
      </c>
      <c r="C36" s="43">
        <v>3</v>
      </c>
      <c r="D36" s="43" t="s">
        <v>138</v>
      </c>
    </row>
    <row r="37" spans="1:23" ht="12.75" customHeight="1">
      <c r="B37" s="205" t="s">
        <v>139</v>
      </c>
      <c r="C37" s="43">
        <v>12</v>
      </c>
      <c r="D37" s="43" t="s">
        <v>140</v>
      </c>
    </row>
    <row r="38" spans="1:23" ht="12.75" customHeight="1">
      <c r="B38" s="205" t="s">
        <v>141</v>
      </c>
      <c r="C38" s="206">
        <v>0.3</v>
      </c>
      <c r="D38" s="43"/>
    </row>
    <row r="39" spans="1:23" ht="12.75" customHeight="1">
      <c r="B39" s="205"/>
      <c r="C39" s="43"/>
      <c r="D39" s="43"/>
    </row>
    <row r="40" spans="1:23" ht="12.75" customHeight="1">
      <c r="B40" s="204" t="s">
        <v>142</v>
      </c>
    </row>
    <row r="41" spans="1:23" ht="12.75" customHeight="1">
      <c r="B41" s="205" t="s">
        <v>143</v>
      </c>
      <c r="C41" s="43">
        <v>12</v>
      </c>
      <c r="D41" s="43" t="s">
        <v>140</v>
      </c>
      <c r="E41" s="43" t="s">
        <v>144</v>
      </c>
    </row>
    <row r="42" spans="1:23" ht="12.75" customHeight="1">
      <c r="B42" s="205" t="s">
        <v>145</v>
      </c>
      <c r="C42" s="43">
        <v>10</v>
      </c>
      <c r="D42" s="43" t="s">
        <v>146</v>
      </c>
    </row>
    <row r="43" spans="1:23" ht="12.75" customHeight="1"/>
    <row r="44" spans="1:23" ht="12.75" customHeight="1">
      <c r="B44" s="204" t="s">
        <v>78</v>
      </c>
    </row>
    <row r="45" spans="1:23" ht="12.75" customHeight="1">
      <c r="B45" s="205" t="s">
        <v>147</v>
      </c>
      <c r="C45" s="43">
        <v>3</v>
      </c>
      <c r="D45" s="43" t="s">
        <v>146</v>
      </c>
      <c r="E45" s="43"/>
    </row>
    <row r="46" spans="1:23" ht="12.75" customHeight="1"/>
    <row r="47" spans="1:23" ht="12.75" customHeight="1">
      <c r="B47" s="204" t="s">
        <v>43</v>
      </c>
    </row>
    <row r="48" spans="1:23" ht="12.75" customHeight="1">
      <c r="B48" s="205" t="s">
        <v>147</v>
      </c>
      <c r="C48" s="43">
        <v>12</v>
      </c>
      <c r="D48" s="43" t="s">
        <v>140</v>
      </c>
      <c r="E48" s="43"/>
    </row>
    <row r="49" spans="2:5" ht="12.75" customHeight="1">
      <c r="B49" s="205"/>
      <c r="C49" s="43"/>
      <c r="D49" s="43"/>
      <c r="E49" s="43"/>
    </row>
    <row r="50" spans="2:5" ht="12.75" customHeight="1">
      <c r="B50" s="213" t="s">
        <v>157</v>
      </c>
    </row>
    <row r="51" spans="2:5" ht="12.75" customHeight="1"/>
    <row r="52" spans="2:5" ht="12.75" customHeight="1"/>
    <row r="53" spans="2:5" ht="12.75" customHeight="1"/>
    <row r="54" spans="2:5" ht="12.75" customHeight="1"/>
    <row r="55" spans="2:5" ht="12.75" customHeight="1"/>
    <row r="56" spans="2:5" ht="12.75" customHeight="1"/>
    <row r="57" spans="2:5" ht="12.75" customHeight="1"/>
    <row r="58" spans="2:5" ht="12.75" customHeight="1"/>
    <row r="59" spans="2:5" ht="12.75" customHeight="1"/>
    <row r="60" spans="2:5" ht="12.75" customHeight="1"/>
    <row r="61" spans="2:5" ht="12.75" customHeight="1"/>
    <row r="62" spans="2:5" ht="12.75" customHeight="1"/>
    <row r="63" spans="2:5" ht="12.75" customHeight="1"/>
    <row r="64" spans="2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</sheetData>
  <mergeCells count="7">
    <mergeCell ref="T4:AE4"/>
    <mergeCell ref="A4:A5"/>
    <mergeCell ref="B4:B5"/>
    <mergeCell ref="C4:C5"/>
    <mergeCell ref="D4:D5"/>
    <mergeCell ref="E4:E5"/>
    <mergeCell ref="H4:S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/>
  </sheetViews>
  <sheetFormatPr defaultColWidth="14.44140625" defaultRowHeight="15" customHeight="1"/>
  <cols>
    <col min="1" max="1" width="28" customWidth="1"/>
    <col min="2" max="2" width="38.33203125" customWidth="1"/>
    <col min="3" max="6" width="11.5546875" customWidth="1"/>
    <col min="7" max="11" width="8" customWidth="1"/>
  </cols>
  <sheetData>
    <row r="1" spans="1:2" ht="12.75" customHeight="1"/>
    <row r="2" spans="1:2" ht="12.75" customHeight="1">
      <c r="A2" s="2" t="s">
        <v>23</v>
      </c>
      <c r="B2" s="3"/>
    </row>
    <row r="3" spans="1:2" ht="12.75" customHeight="1"/>
    <row r="4" spans="1:2" ht="12.75" customHeight="1">
      <c r="A4" s="207" t="s">
        <v>24</v>
      </c>
      <c r="B4" s="208">
        <v>200000</v>
      </c>
    </row>
    <row r="5" spans="1:2" ht="12.75" customHeight="1">
      <c r="A5" s="209" t="s">
        <v>30</v>
      </c>
      <c r="B5" s="210">
        <v>2942964.5</v>
      </c>
    </row>
    <row r="6" spans="1:2" ht="12.75" customHeight="1">
      <c r="A6" s="209" t="s">
        <v>28</v>
      </c>
      <c r="B6" s="210">
        <v>264633.87</v>
      </c>
    </row>
    <row r="7" spans="1:2" ht="25.5" customHeight="1">
      <c r="A7" s="209" t="s">
        <v>148</v>
      </c>
      <c r="B7" s="210">
        <v>1887019</v>
      </c>
    </row>
    <row r="8" spans="1:2" ht="38.25" customHeight="1">
      <c r="A8" s="209" t="s">
        <v>149</v>
      </c>
      <c r="B8" s="210">
        <v>50000</v>
      </c>
    </row>
    <row r="9" spans="1:2" ht="25.5" customHeight="1">
      <c r="A9" s="209" t="s">
        <v>150</v>
      </c>
      <c r="B9" s="210">
        <v>50000</v>
      </c>
    </row>
    <row r="10" spans="1:2" ht="12.75" customHeight="1">
      <c r="A10" s="211" t="s">
        <v>29</v>
      </c>
      <c r="B10" s="210">
        <v>100000</v>
      </c>
    </row>
    <row r="11" spans="1:2" ht="25.5" customHeight="1">
      <c r="A11" s="209" t="s">
        <v>151</v>
      </c>
      <c r="B11" s="210">
        <f>SUM(B4:B10)</f>
        <v>5494617.3700000001</v>
      </c>
    </row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Cost price</vt:lpstr>
      <vt:lpstr>Cash Flow</vt:lpstr>
      <vt:lpstr>Stages</vt:lpstr>
      <vt:lpstr>Разбивка</vt:lpstr>
      <vt:lpstr>'Cost price'!Excel_BuiltIn_Print_Area</vt:lpstr>
      <vt:lpstr>Stages!Excel_BuiltIn_Print_Area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Василий Краснобородько</cp:lastModifiedBy>
  <dcterms:modified xsi:type="dcterms:W3CDTF">2026-05-24T07:01:06Z</dcterms:modified>
</cp:coreProperties>
</file>